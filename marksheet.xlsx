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2E32E27F-9CBE-4FB7-833C-5378C2A0E0D0}" xr6:coauthVersionLast="47" xr6:coauthVersionMax="47" xr10:uidLastSave="{00000000-0000-0000-0000-000000000000}"/>
  <bookViews>
    <workbookView xWindow="-120" yWindow="-120" windowWidth="29040" windowHeight="15720" xr2:uid="{01473B8A-B769-4597-825C-31BB55CE4F61}"/>
  </bookViews>
  <sheets>
    <sheet name="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M5" i="1" s="1"/>
  <c r="C25" i="1"/>
  <c r="C26" i="1"/>
  <c r="E20" i="1"/>
  <c r="G20" i="1"/>
  <c r="I20" i="1"/>
  <c r="J20" i="1"/>
  <c r="L20" i="1" s="1"/>
  <c r="K20" i="1"/>
  <c r="M20" i="1" s="1"/>
  <c r="I5" i="1"/>
  <c r="K9" i="1"/>
  <c r="M9" i="1" s="1"/>
  <c r="J16" i="1"/>
  <c r="L16" i="1" s="1"/>
  <c r="K16" i="1"/>
  <c r="M16" i="1" s="1"/>
  <c r="E5" i="1"/>
  <c r="K6" i="1"/>
  <c r="M6" i="1" s="1"/>
  <c r="K7" i="1"/>
  <c r="M7" i="1" s="1"/>
  <c r="K8" i="1"/>
  <c r="M8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7" i="1"/>
  <c r="M17" i="1" s="1"/>
  <c r="K18" i="1"/>
  <c r="M18" i="1" s="1"/>
  <c r="K19" i="1"/>
  <c r="M19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7" i="1"/>
  <c r="L17" i="1" s="1"/>
  <c r="J18" i="1"/>
  <c r="L18" i="1" s="1"/>
  <c r="J19" i="1"/>
  <c r="L19" i="1" s="1"/>
  <c r="J5" i="1"/>
  <c r="L5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F23" i="1"/>
  <c r="F22" i="1"/>
  <c r="D23" i="1"/>
  <c r="D22" i="1"/>
</calcChain>
</file>

<file path=xl/sharedStrings.xml><?xml version="1.0" encoding="utf-8"?>
<sst xmlns="http://schemas.openxmlformats.org/spreadsheetml/2006/main" count="32" uniqueCount="32">
  <si>
    <t>id</t>
  </si>
  <si>
    <t>Name</t>
  </si>
  <si>
    <t>English</t>
  </si>
  <si>
    <t>Maths</t>
  </si>
  <si>
    <t>Bronnie</t>
  </si>
  <si>
    <t>Lemmie</t>
  </si>
  <si>
    <t>Danya</t>
  </si>
  <si>
    <t>Denna</t>
  </si>
  <si>
    <t>Jocelin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</si>
  <si>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</si>
  <si>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</si>
  <si>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</si>
  <si>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</si>
  <si>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</si>
  <si>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</si>
  <si>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</si>
  <si>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</si>
  <si>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</si>
  <si>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</si>
  <si>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</si>
  <si>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Attendance</t>
  </si>
  <si>
    <t>PASS/FAIL</t>
  </si>
  <si>
    <t>OR</t>
  </si>
  <si>
    <t>AND</t>
  </si>
  <si>
    <t>OR||P/F</t>
  </si>
  <si>
    <t>AND||P/F</t>
  </si>
  <si>
    <t>PASS/FAIL2</t>
  </si>
  <si>
    <t>Column3</t>
  </si>
  <si>
    <t>TOTAL=</t>
  </si>
  <si>
    <t>AVG=</t>
  </si>
  <si>
    <t>ERROR=</t>
  </si>
  <si>
    <t>LOGICAL AND ERROR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</si>
</sst>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lgerian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54712-7F93-4717-909F-09F59CC485AE}" name="Table1" displayName="Table1" ref="B4:M23" totalsRowShown="0" dataDxfId="12">
  <autoFilter ref="B4:M23" xr:uid="{7E754712-7F93-4717-909F-09F59CC485AE}"/>
  <tableColumns count="12">
    <tableColumn id="1" xr3:uid="{F72AF5B3-0D71-49DA-B677-52C850BA352F}" name="id" dataDxfId="11"/>
    <tableColumn id="2" xr3:uid="{2BF62633-D591-4399-8315-BF15D27AB993}" name="Name" dataDxfId="10"/>
    <tableColumn id="3" xr3:uid="{5E26B928-E24E-42D3-86D3-DDD289BD50AB}" name="English" dataDxfId="9"/>
    <tableColumn id="4" xr3:uid="{3C88E5BB-A185-4773-BB1A-E0622ED8CF02}" name="PASS/FAIL" dataDxfId="8"/>
    <tableColumn id="5" xr3:uid="{5F33D1FC-DD04-45A8-8F82-5BBADACC0CD7}" name="Maths" dataDxfId="7"/>
    <tableColumn id="6" xr3:uid="{3539565C-1244-460F-A07F-1C4FCC1A9E7E}" name="PASS/FAIL2" dataDxfId="6"/>
    <tableColumn id="7" xr3:uid="{5BE5E1FD-87A6-4EA9-B7C6-0805FF52EFAC}" name="Attendance" dataDxfId="5"/>
    <tableColumn id="8" xr3:uid="{843051C6-9D57-43FB-BB65-F93847DF8B19}" name="Column3" dataDxfId="4"/>
    <tableColumn id="9" xr3:uid="{4C1BD038-C5A4-4BEA-884E-8F0EFA112103}" name="OR" dataDxfId="3"/>
    <tableColumn id="10" xr3:uid="{74307F3A-7C5A-4BAE-9046-073238CEBF3D}" name="AND" dataDxfId="2"/>
    <tableColumn id="11" xr3:uid="{FAE39F61-4865-4707-8406-F8B9D496F8B9}" name="OR||P/F" dataDxfId="1"/>
    <tableColumn id="12" xr3:uid="{5D3FB24F-A695-4FD5-8EEC-02C7FC8E581D}" name="AND||P/F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9378-2164-43E6-82FF-6319C5A212ED}">
  <dimension ref="B2:M26"/>
  <sheetViews>
    <sheetView tabSelected="1" workbookViewId="0">
      <selection activeCell="R19" sqref="R19"/>
    </sheetView>
  </sheetViews>
  <sheetFormatPr defaultRowHeight="15" x14ac:dyDescent="0.25"/>
  <cols>
    <col min="3" max="3" width="9.42578125" customWidth="1"/>
    <col min="4" max="4" width="12.140625" customWidth="1"/>
    <col min="6" max="6" width="13.140625" customWidth="1"/>
    <col min="7" max="7" width="13.42578125" customWidth="1"/>
    <col min="8" max="8" width="11" customWidth="1"/>
    <col min="11" max="11" width="10.7109375" customWidth="1"/>
    <col min="12" max="12" width="12.140625" customWidth="1"/>
  </cols>
  <sheetData>
    <row r="2" spans="2:13" ht="15.75" x14ac:dyDescent="0.25">
      <c r="D2" s="3" t="s">
        <v>31</v>
      </c>
    </row>
    <row r="4" spans="2:13" x14ac:dyDescent="0.25">
      <c r="B4" t="s">
        <v>0</v>
      </c>
      <c r="C4" s="1" t="s">
        <v>1</v>
      </c>
      <c r="D4" s="1" t="s">
        <v>2</v>
      </c>
      <c r="E4" s="1" t="s">
        <v>21</v>
      </c>
      <c r="F4" s="1" t="s">
        <v>3</v>
      </c>
      <c r="G4" s="1" t="s">
        <v>26</v>
      </c>
      <c r="H4" s="1" t="s">
        <v>20</v>
      </c>
      <c r="I4" s="1" t="s">
        <v>27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2:13" x14ac:dyDescent="0.25">
      <c r="B5" s="2">
        <v>1</v>
      </c>
      <c r="C5" s="1" t="s">
        <v>4</v>
      </c>
      <c r="D5" s="1">
        <v>81</v>
      </c>
      <c r="E5" s="1" t="str">
        <f>IF(D5&lt;35,"Fail","Pass")</f>
        <v>Pass</v>
      </c>
      <c r="F5" s="1">
        <v>49</v>
      </c>
      <c r="G5" s="1" t="str">
        <f>IF(F5&lt;35,"Fail","Pass")</f>
        <v>Pass</v>
      </c>
      <c r="H5" s="1">
        <v>62</v>
      </c>
      <c r="I5" s="1" t="str">
        <f>IF(H5&gt;=80,"ABOVE 80",IF(H5&gt;=61,"61-80",IF(H5&gt;=41,"41-60",IF(H5&lt;40,"UNDER 40"))))</f>
        <v>61-80</v>
      </c>
      <c r="J5" s="1" t="b">
        <f>OR(D5&lt;35,F5&lt;35)</f>
        <v>0</v>
      </c>
      <c r="K5" s="1" t="b">
        <f>AND(D5&lt;35,F5&lt;35)</f>
        <v>0</v>
      </c>
      <c r="L5" s="1" t="str">
        <f>IF(J5,"FAIL","PASS")</f>
        <v>PASS</v>
      </c>
      <c r="M5" s="1" t="str">
        <f>IF(K5,"FAIL","PASS")</f>
        <v>PASS</v>
      </c>
    </row>
    <row r="6" spans="2:13" x14ac:dyDescent="0.25">
      <c r="B6" s="2">
        <v>2</v>
      </c>
      <c r="C6" s="1" t="s">
        <v>5</v>
      </c>
      <c r="D6" s="1">
        <v>41</v>
      </c>
      <c r="E6" s="1" t="str">
        <f t="shared" ref="E6:E20" si="0">IF(D6&lt;35,"Fail","Pass")</f>
        <v>Pass</v>
      </c>
      <c r="F6" s="1">
        <v>40</v>
      </c>
      <c r="G6" s="1" t="str">
        <f t="shared" ref="G6:G20" si="1">IF(F6&lt;35,"Fail","Pass")</f>
        <v>Pass</v>
      </c>
      <c r="H6" s="1">
        <v>17</v>
      </c>
      <c r="I6" s="1" t="str">
        <f t="shared" ref="I6:I20" si="2">IF(H6&gt;=80,"ABOVE 80",IF(H6&gt;=61,"61-80",IF(H6&gt;=41,"41-60",IF(H6&lt;40,"UNDER 40"))))</f>
        <v>UNDER 40</v>
      </c>
      <c r="J6" s="1" t="b">
        <f t="shared" ref="J6:J20" si="3">OR(D6&lt;35,F6&lt;35)</f>
        <v>0</v>
      </c>
      <c r="K6" s="1" t="b">
        <f t="shared" ref="K6:K20" si="4">AND(D6&lt;35,F6&lt;35)</f>
        <v>0</v>
      </c>
      <c r="L6" s="1" t="str">
        <f t="shared" ref="L6:L20" si="5">IF(J6,"FAIL","PASS")</f>
        <v>PASS</v>
      </c>
      <c r="M6" s="1" t="str">
        <f>IF(K6,"FAIL","PASS")</f>
        <v>PASS</v>
      </c>
    </row>
    <row r="7" spans="2:13" x14ac:dyDescent="0.25">
      <c r="B7" s="2">
        <v>3</v>
      </c>
      <c r="C7" s="1" t="s">
        <v>6</v>
      </c>
      <c r="D7" s="1">
        <v>87</v>
      </c>
      <c r="E7" s="1" t="str">
        <f t="shared" si="0"/>
        <v>Pass</v>
      </c>
      <c r="F7" s="1">
        <v>96</v>
      </c>
      <c r="G7" s="1" t="str">
        <f t="shared" si="1"/>
        <v>Pass</v>
      </c>
      <c r="H7" s="1">
        <v>16</v>
      </c>
      <c r="I7" s="1" t="str">
        <f t="shared" si="2"/>
        <v>UNDER 40</v>
      </c>
      <c r="J7" s="1" t="b">
        <f t="shared" si="3"/>
        <v>0</v>
      </c>
      <c r="K7" s="1" t="b">
        <f t="shared" si="4"/>
        <v>0</v>
      </c>
      <c r="L7" s="1" t="str">
        <f t="shared" si="5"/>
        <v>PASS</v>
      </c>
      <c r="M7" s="1" t="str">
        <f t="shared" ref="M6:M20" si="6">IF(K7,"FAIL","PASS")</f>
        <v>PASS</v>
      </c>
    </row>
    <row r="8" spans="2:13" x14ac:dyDescent="0.25">
      <c r="B8" s="2">
        <v>4</v>
      </c>
      <c r="C8" s="1" t="s">
        <v>7</v>
      </c>
      <c r="D8" s="1">
        <v>53</v>
      </c>
      <c r="E8" s="1" t="str">
        <f t="shared" si="0"/>
        <v>Pass</v>
      </c>
      <c r="F8" s="1">
        <v>33</v>
      </c>
      <c r="G8" s="1" t="str">
        <f t="shared" si="1"/>
        <v>Fail</v>
      </c>
      <c r="H8" s="1">
        <v>82</v>
      </c>
      <c r="I8" s="1" t="str">
        <f t="shared" si="2"/>
        <v>ABOVE 80</v>
      </c>
      <c r="J8" s="1" t="b">
        <f t="shared" si="3"/>
        <v>1</v>
      </c>
      <c r="K8" s="1" t="b">
        <f t="shared" si="4"/>
        <v>0</v>
      </c>
      <c r="L8" s="1" t="str">
        <f t="shared" si="5"/>
        <v>FAIL</v>
      </c>
      <c r="M8" s="1" t="str">
        <f t="shared" si="6"/>
        <v>PASS</v>
      </c>
    </row>
    <row r="9" spans="2:13" x14ac:dyDescent="0.25">
      <c r="B9" s="2">
        <v>5</v>
      </c>
      <c r="C9" s="1" t="s">
        <v>8</v>
      </c>
      <c r="D9" s="1">
        <v>6</v>
      </c>
      <c r="E9" s="1" t="str">
        <f t="shared" si="0"/>
        <v>Fail</v>
      </c>
      <c r="F9" s="1">
        <v>21</v>
      </c>
      <c r="G9" s="1" t="str">
        <f t="shared" si="1"/>
        <v>Fail</v>
      </c>
      <c r="H9" s="1">
        <v>30</v>
      </c>
      <c r="I9" s="1" t="str">
        <f t="shared" si="2"/>
        <v>UNDER 40</v>
      </c>
      <c r="J9" s="1" t="b">
        <f t="shared" si="3"/>
        <v>1</v>
      </c>
      <c r="K9" s="1" t="b">
        <f>AND(D9&lt;35,F9&lt;35)</f>
        <v>1</v>
      </c>
      <c r="L9" s="1" t="str">
        <f t="shared" si="5"/>
        <v>FAIL</v>
      </c>
      <c r="M9" s="1" t="str">
        <f>IF(K9,"FAIL","PASS")</f>
        <v>FAIL</v>
      </c>
    </row>
    <row r="10" spans="2:13" x14ac:dyDescent="0.25">
      <c r="B10" s="2">
        <v>6</v>
      </c>
      <c r="C10" s="1" t="s">
        <v>9</v>
      </c>
      <c r="D10" s="1">
        <v>51</v>
      </c>
      <c r="E10" s="1" t="str">
        <f t="shared" si="0"/>
        <v>Pass</v>
      </c>
      <c r="F10" s="1">
        <v>76</v>
      </c>
      <c r="G10" s="1" t="str">
        <f t="shared" si="1"/>
        <v>Pass</v>
      </c>
      <c r="H10" s="1">
        <v>85</v>
      </c>
      <c r="I10" s="1" t="str">
        <f t="shared" si="2"/>
        <v>ABOVE 80</v>
      </c>
      <c r="J10" s="1" t="b">
        <f t="shared" si="3"/>
        <v>0</v>
      </c>
      <c r="K10" s="1" t="b">
        <f t="shared" si="4"/>
        <v>0</v>
      </c>
      <c r="L10" s="1" t="str">
        <f t="shared" si="5"/>
        <v>PASS</v>
      </c>
      <c r="M10" s="1" t="str">
        <f t="shared" si="6"/>
        <v>PASS</v>
      </c>
    </row>
    <row r="11" spans="2:13" x14ac:dyDescent="0.25">
      <c r="B11" s="2">
        <v>7</v>
      </c>
      <c r="C11" s="1" t="s">
        <v>10</v>
      </c>
      <c r="D11" s="1">
        <v>74</v>
      </c>
      <c r="E11" s="1" t="str">
        <f t="shared" si="0"/>
        <v>Pass</v>
      </c>
      <c r="F11" s="1">
        <v>60</v>
      </c>
      <c r="G11" s="1" t="str">
        <f t="shared" si="1"/>
        <v>Pass</v>
      </c>
      <c r="H11" s="1">
        <v>54</v>
      </c>
      <c r="I11" s="1" t="str">
        <f t="shared" si="2"/>
        <v>41-60</v>
      </c>
      <c r="J11" s="1" t="b">
        <f t="shared" si="3"/>
        <v>0</v>
      </c>
      <c r="K11" s="1" t="b">
        <f t="shared" si="4"/>
        <v>0</v>
      </c>
      <c r="L11" s="1" t="str">
        <f t="shared" si="5"/>
        <v>PASS</v>
      </c>
      <c r="M11" s="1" t="str">
        <f t="shared" si="6"/>
        <v>PASS</v>
      </c>
    </row>
    <row r="12" spans="2:13" x14ac:dyDescent="0.25">
      <c r="B12" s="2">
        <v>8</v>
      </c>
      <c r="C12" s="1" t="s">
        <v>11</v>
      </c>
      <c r="D12" s="1">
        <v>51</v>
      </c>
      <c r="E12" s="1" t="str">
        <f t="shared" si="0"/>
        <v>Pass</v>
      </c>
      <c r="F12" s="1">
        <v>80</v>
      </c>
      <c r="G12" s="1" t="str">
        <f t="shared" si="1"/>
        <v>Pass</v>
      </c>
      <c r="H12" s="1">
        <v>41</v>
      </c>
      <c r="I12" s="1" t="str">
        <f t="shared" si="2"/>
        <v>41-60</v>
      </c>
      <c r="J12" s="1" t="b">
        <f t="shared" si="3"/>
        <v>0</v>
      </c>
      <c r="K12" s="1" t="b">
        <f t="shared" si="4"/>
        <v>0</v>
      </c>
      <c r="L12" s="1" t="str">
        <f t="shared" si="5"/>
        <v>PASS</v>
      </c>
      <c r="M12" s="1" t="str">
        <f t="shared" si="6"/>
        <v>PASS</v>
      </c>
    </row>
    <row r="13" spans="2:13" x14ac:dyDescent="0.25">
      <c r="B13" s="2">
        <v>9</v>
      </c>
      <c r="C13" s="1" t="s">
        <v>12</v>
      </c>
      <c r="D13" s="1">
        <v>16</v>
      </c>
      <c r="E13" s="1" t="str">
        <f t="shared" si="0"/>
        <v>Fail</v>
      </c>
      <c r="F13" s="1">
        <v>49</v>
      </c>
      <c r="G13" s="1" t="str">
        <f t="shared" si="1"/>
        <v>Pass</v>
      </c>
      <c r="H13" s="1">
        <v>22</v>
      </c>
      <c r="I13" s="1" t="str">
        <f t="shared" si="2"/>
        <v>UNDER 40</v>
      </c>
      <c r="J13" s="1" t="b">
        <f t="shared" si="3"/>
        <v>1</v>
      </c>
      <c r="K13" s="1" t="b">
        <f t="shared" si="4"/>
        <v>0</v>
      </c>
      <c r="L13" s="1" t="str">
        <f t="shared" si="5"/>
        <v>FAIL</v>
      </c>
      <c r="M13" s="1" t="str">
        <f t="shared" si="6"/>
        <v>PASS</v>
      </c>
    </row>
    <row r="14" spans="2:13" x14ac:dyDescent="0.25">
      <c r="B14" s="2">
        <v>10</v>
      </c>
      <c r="C14" s="1" t="s">
        <v>13</v>
      </c>
      <c r="D14" s="1">
        <v>25</v>
      </c>
      <c r="E14" s="1" t="str">
        <f t="shared" si="0"/>
        <v>Fail</v>
      </c>
      <c r="F14" s="1">
        <v>27</v>
      </c>
      <c r="G14" s="1" t="str">
        <f t="shared" si="1"/>
        <v>Fail</v>
      </c>
      <c r="H14" s="1">
        <v>37</v>
      </c>
      <c r="I14" s="1" t="str">
        <f t="shared" si="2"/>
        <v>UNDER 40</v>
      </c>
      <c r="J14" s="1" t="b">
        <f t="shared" si="3"/>
        <v>1</v>
      </c>
      <c r="K14" s="1" t="b">
        <f t="shared" si="4"/>
        <v>1</v>
      </c>
      <c r="L14" s="1" t="str">
        <f t="shared" si="5"/>
        <v>FAIL</v>
      </c>
      <c r="M14" s="1" t="str">
        <f t="shared" si="6"/>
        <v>FAIL</v>
      </c>
    </row>
    <row r="15" spans="2:13" x14ac:dyDescent="0.25">
      <c r="B15" s="2">
        <v>11</v>
      </c>
      <c r="C15" s="1" t="s">
        <v>14</v>
      </c>
      <c r="D15" s="1">
        <v>93</v>
      </c>
      <c r="E15" s="1" t="str">
        <f t="shared" si="0"/>
        <v>Pass</v>
      </c>
      <c r="F15" s="1">
        <v>81</v>
      </c>
      <c r="G15" s="1" t="str">
        <f t="shared" si="1"/>
        <v>Pass</v>
      </c>
      <c r="H15" s="1">
        <v>87</v>
      </c>
      <c r="I15" s="1" t="str">
        <f t="shared" si="2"/>
        <v>ABOVE 80</v>
      </c>
      <c r="J15" s="1" t="b">
        <f t="shared" si="3"/>
        <v>0</v>
      </c>
      <c r="K15" s="1" t="b">
        <f t="shared" si="4"/>
        <v>0</v>
      </c>
      <c r="L15" s="1" t="str">
        <f t="shared" si="5"/>
        <v>PASS</v>
      </c>
      <c r="M15" s="1" t="str">
        <f t="shared" si="6"/>
        <v>PASS</v>
      </c>
    </row>
    <row r="16" spans="2:13" x14ac:dyDescent="0.25">
      <c r="B16" s="2">
        <v>12</v>
      </c>
      <c r="C16" s="1" t="s">
        <v>15</v>
      </c>
      <c r="D16" s="1">
        <v>5</v>
      </c>
      <c r="E16" s="1" t="str">
        <f t="shared" si="0"/>
        <v>Fail</v>
      </c>
      <c r="F16" s="1">
        <v>76</v>
      </c>
      <c r="G16" s="1" t="str">
        <f t="shared" si="1"/>
        <v>Pass</v>
      </c>
      <c r="H16" s="1">
        <v>78</v>
      </c>
      <c r="I16" s="1" t="str">
        <f t="shared" si="2"/>
        <v>61-80</v>
      </c>
      <c r="J16" s="1" t="b">
        <f>OR(D16&lt;35,F16&lt;35)</f>
        <v>1</v>
      </c>
      <c r="K16" s="1" t="b">
        <f>AND(D16&lt;35,F16&lt;35)</f>
        <v>0</v>
      </c>
      <c r="L16" s="1" t="str">
        <f t="shared" si="5"/>
        <v>FAIL</v>
      </c>
      <c r="M16" s="1" t="str">
        <f t="shared" si="6"/>
        <v>PASS</v>
      </c>
    </row>
    <row r="17" spans="2:13" x14ac:dyDescent="0.25">
      <c r="B17" s="2">
        <v>13</v>
      </c>
      <c r="C17" s="1" t="s">
        <v>16</v>
      </c>
      <c r="D17" s="1">
        <v>89</v>
      </c>
      <c r="E17" s="1" t="str">
        <f t="shared" si="0"/>
        <v>Pass</v>
      </c>
      <c r="F17" s="1">
        <v>34</v>
      </c>
      <c r="G17" s="1" t="str">
        <f t="shared" si="1"/>
        <v>Fail</v>
      </c>
      <c r="H17" s="1">
        <v>96</v>
      </c>
      <c r="I17" s="1" t="str">
        <f t="shared" si="2"/>
        <v>ABOVE 80</v>
      </c>
      <c r="J17" s="1" t="b">
        <f t="shared" si="3"/>
        <v>1</v>
      </c>
      <c r="K17" s="1" t="b">
        <f t="shared" si="4"/>
        <v>0</v>
      </c>
      <c r="L17" s="1" t="str">
        <f t="shared" si="5"/>
        <v>FAIL</v>
      </c>
      <c r="M17" s="1" t="str">
        <f t="shared" si="6"/>
        <v>PASS</v>
      </c>
    </row>
    <row r="18" spans="2:13" x14ac:dyDescent="0.25">
      <c r="B18" s="2">
        <v>14</v>
      </c>
      <c r="C18" s="1" t="s">
        <v>17</v>
      </c>
      <c r="D18" s="1">
        <v>38</v>
      </c>
      <c r="E18" s="1" t="str">
        <f t="shared" si="0"/>
        <v>Pass</v>
      </c>
      <c r="F18" s="1">
        <v>93</v>
      </c>
      <c r="G18" s="1" t="str">
        <f t="shared" si="1"/>
        <v>Pass</v>
      </c>
      <c r="H18" s="1">
        <v>39</v>
      </c>
      <c r="I18" s="1" t="str">
        <f t="shared" si="2"/>
        <v>UNDER 40</v>
      </c>
      <c r="J18" s="1" t="b">
        <f t="shared" si="3"/>
        <v>0</v>
      </c>
      <c r="K18" s="1" t="b">
        <f t="shared" si="4"/>
        <v>0</v>
      </c>
      <c r="L18" s="1" t="str">
        <f t="shared" si="5"/>
        <v>PASS</v>
      </c>
      <c r="M18" s="1" t="str">
        <f t="shared" si="6"/>
        <v>PASS</v>
      </c>
    </row>
    <row r="19" spans="2:13" x14ac:dyDescent="0.25">
      <c r="B19" s="2">
        <v>15</v>
      </c>
      <c r="C19" s="1" t="s">
        <v>18</v>
      </c>
      <c r="D19" s="1">
        <v>18</v>
      </c>
      <c r="E19" s="1" t="str">
        <f t="shared" si="0"/>
        <v>Fail</v>
      </c>
      <c r="F19" s="1">
        <v>74</v>
      </c>
      <c r="G19" s="1" t="str">
        <f t="shared" si="1"/>
        <v>Pass</v>
      </c>
      <c r="H19" s="1">
        <v>84</v>
      </c>
      <c r="I19" s="1" t="str">
        <f t="shared" si="2"/>
        <v>ABOVE 80</v>
      </c>
      <c r="J19" s="1" t="b">
        <f t="shared" si="3"/>
        <v>1</v>
      </c>
      <c r="K19" s="1" t="b">
        <f t="shared" si="4"/>
        <v>0</v>
      </c>
      <c r="L19" s="1" t="str">
        <f t="shared" si="5"/>
        <v>FAIL</v>
      </c>
      <c r="M19" s="1" t="str">
        <f t="shared" si="6"/>
        <v>PASS</v>
      </c>
    </row>
    <row r="20" spans="2:13" x14ac:dyDescent="0.25">
      <c r="B20" s="2">
        <v>16</v>
      </c>
      <c r="C20" s="1" t="s">
        <v>19</v>
      </c>
      <c r="D20" s="1">
        <v>30</v>
      </c>
      <c r="E20" s="1" t="str">
        <f t="shared" si="0"/>
        <v>Fail</v>
      </c>
      <c r="F20" s="1">
        <v>64</v>
      </c>
      <c r="G20" s="1" t="str">
        <f t="shared" si="1"/>
        <v>Pass</v>
      </c>
      <c r="H20" s="1">
        <v>90</v>
      </c>
      <c r="I20" s="1" t="str">
        <f t="shared" si="2"/>
        <v>ABOVE 80</v>
      </c>
      <c r="J20" s="1" t="b">
        <f t="shared" si="3"/>
        <v>1</v>
      </c>
      <c r="K20" s="1" t="b">
        <f t="shared" si="4"/>
        <v>0</v>
      </c>
      <c r="L20" s="1" t="str">
        <f t="shared" si="5"/>
        <v>FAIL</v>
      </c>
      <c r="M20" s="1" t="str">
        <f t="shared" si="6"/>
        <v>PASS</v>
      </c>
    </row>
    <row r="21" spans="2:13" x14ac:dyDescent="0.25"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25">
      <c r="B22" s="2"/>
      <c r="C22" s="1" t="s">
        <v>28</v>
      </c>
      <c r="D22" s="1">
        <f ca="1">SUM(Table1[English])</f>
        <v>758</v>
      </c>
      <c r="E22" s="1"/>
      <c r="F22" s="1">
        <f ca="1">SUM(Table1[Maths])</f>
        <v>953</v>
      </c>
      <c r="G22" s="1"/>
      <c r="H22" s="1"/>
      <c r="I22" s="1"/>
      <c r="J22" s="1"/>
      <c r="K22" s="1"/>
      <c r="L22" s="1"/>
      <c r="M22" s="1"/>
    </row>
    <row r="23" spans="2:13" x14ac:dyDescent="0.25">
      <c r="B23" s="2"/>
      <c r="C23" s="1" t="s">
        <v>29</v>
      </c>
      <c r="D23" s="1">
        <f ca="1">AVERAGE(Table1[English])</f>
        <v>47.375</v>
      </c>
      <c r="E23" s="1"/>
      <c r="F23" s="1">
        <f ca="1">AVERAGE(Table1[Maths])</f>
        <v>59.5625</v>
      </c>
      <c r="G23" s="1"/>
      <c r="H23" s="1"/>
      <c r="I23" s="1"/>
      <c r="J23" s="1"/>
      <c r="K23" s="1"/>
      <c r="L23" s="1"/>
      <c r="M23" s="1"/>
    </row>
    <row r="25" spans="2:13" x14ac:dyDescent="0.25">
      <c r="B25" t="s">
        <v>30</v>
      </c>
      <c r="C25" t="e">
        <f>5676/0</f>
        <v>#DIV/0!</v>
      </c>
    </row>
    <row r="26" spans="2:13" x14ac:dyDescent="0.25">
      <c r="C26" t="e">
        <f>I18,G17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2026-06-02T06:45:35Z</dcterms:created>
  <dcterms:modified xsi:type="dcterms:W3CDTF">2026-06-02T09:59:04Z</dcterms:modified>
</cp:coreProperties>
</file>