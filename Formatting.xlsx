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BC98AF81-B9BA-4A5C-8E14-5A71412C68C3}" xr6:coauthVersionLast="47" xr6:coauthVersionMax="47" xr10:uidLastSave="{00000000-0000-0000-0000-000000000000}"/>
  <bookViews>
    <workbookView xWindow="-120" yWindow="-120" windowWidth="29040" windowHeight="15720" xr2:uid="{265350AF-0C30-4AF2-8835-DA053DCAFB14}"/>
  </bookViews>
  <sheets>
    <sheet name="Sheet1" sheetId="1" r:id="rId1"/>
  </sheets>
  <definedNames>
    <definedName name="_xlchart.v1.0" hidden="1">Sheet1!$AJ$5</definedName>
    <definedName name="_xlchart.v1.1" hidden="1">Sheet1!$AJ$6:$AJ$47</definedName>
    <definedName name="_xlchart.v1.2" hidden="1">Sheet1!$AK$5</definedName>
    <definedName name="_xlchart.v1.3" hidden="1">Sheet1!$AK$6:$AK$47</definedName>
  </definedNames>
  <calcPr calcId="191029"/>
  <pivotCaches>
    <pivotCache cacheId="9" r:id="rId2"/>
    <pivotCache cacheId="9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<sst xmlns="http://schemas.openxmlformats.org/spreadsheetml/2006/main" count="487" uniqueCount="85">
  <si>
    <t>France</t>
  </si>
  <si>
    <t>Female</t>
  </si>
  <si>
    <t>Spain</t>
  </si>
  <si>
    <t>Male</t>
  </si>
  <si>
    <t>Germany</t>
  </si>
  <si>
    <t>SNO</t>
  </si>
  <si>
    <t>customer_id</t>
  </si>
  <si>
    <t>credit_score</t>
  </si>
  <si>
    <t>country</t>
  </si>
  <si>
    <t>gender</t>
  </si>
  <si>
    <t>age</t>
  </si>
  <si>
    <t>tenure</t>
  </si>
  <si>
    <t>balance</t>
  </si>
  <si>
    <t>credit_card</t>
  </si>
  <si>
    <t>active_member</t>
  </si>
  <si>
    <t>estimated_salary</t>
  </si>
  <si>
    <t>churn</t>
  </si>
  <si>
    <t>Date</t>
  </si>
  <si>
    <t>Time</t>
  </si>
  <si>
    <t>poduct</t>
  </si>
  <si>
    <t>Sales</t>
  </si>
  <si>
    <t>Custom Formatting</t>
  </si>
  <si>
    <t>Remove Zero</t>
  </si>
  <si>
    <t>Number Format</t>
  </si>
  <si>
    <t>Remove Negative</t>
  </si>
  <si>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</si>
  <si>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</si>
  <si>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</si>
  <si>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</si>
  <si>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</si>
  <si>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</si>
  <si>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</si>
  <si>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</si>
  <si>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</si>
  <si>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Bob</t>
  </si>
  <si>
    <t>North</t>
  </si>
  <si>
    <t>Furniture</t>
  </si>
  <si>
    <t>West</t>
  </si>
  <si>
    <t>David</t>
  </si>
  <si>
    <t>South</t>
  </si>
  <si>
    <t>Food</t>
  </si>
  <si>
    <t>Clothing</t>
  </si>
  <si>
    <t>Charlie</t>
  </si>
  <si>
    <t>East</t>
  </si>
  <si>
    <t>Electronics</t>
  </si>
  <si>
    <t>Eve</t>
  </si>
  <si>
    <t>Alice</t>
  </si>
  <si>
    <t>Conditional Formatting</t>
  </si>
  <si>
    <t>Formatting</t>
  </si>
  <si>
    <t>Decimal place</t>
  </si>
  <si>
    <t>Cost</t>
  </si>
  <si>
    <t xml:space="preserve"> </t>
  </si>
  <si>
    <t>Customer_Type</t>
  </si>
  <si>
    <t>Discount</t>
  </si>
  <si>
    <t>Payment_Method</t>
  </si>
  <si>
    <t>Sales_Channel</t>
  </si>
  <si>
    <t>Region_and_Sales_Rep</t>
  </si>
  <si>
    <t>Returning</t>
  </si>
  <si>
    <t>Cash</t>
  </si>
  <si>
    <t>Online</t>
  </si>
  <si>
    <t>North-Bob</t>
  </si>
  <si>
    <t>Retail</t>
  </si>
  <si>
    <t>West-Bob</t>
  </si>
  <si>
    <t>Bank Transfer</t>
  </si>
  <si>
    <t>South-David</t>
  </si>
  <si>
    <t>New</t>
  </si>
  <si>
    <t>Credit Card</t>
  </si>
  <si>
    <t>South-Bob</t>
  </si>
  <si>
    <t>East-Charlie</t>
  </si>
  <si>
    <t>West-Charlie</t>
  </si>
  <si>
    <t>South-Eve</t>
  </si>
  <si>
    <t>North-Eve</t>
  </si>
  <si>
    <t>West-Eve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</si>
  <si>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</si>
  <si>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</si>
  <si>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</si>
  <si>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</si>
  <si>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</si>
  <si>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</si>
  <si>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</si>
  <si>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</si>
  <si>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</si>
  <si>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</si>
  <si>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Sum of Quantity_Sold</t>
  </si>
  <si>
    <t>Count of Sales_Channel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</si>
</sst>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0.0%"/>
    <numFmt numFmtId="166" formatCode="[$-10409]hh:mm:ss\ AM/PM;@"/>
    <numFmt numFmtId="167" formatCode="&quot;₹&quot;\ #,##0.00;[Red]&quot;₹&quot;\ #,##0.00"/>
    <numFmt numFmtId="168" formatCode="000"/>
    <numFmt numFmtId="169" formatCode="#,##0;;"/>
    <numFmt numFmtId="170" formatCode="#,##0;\-#,##0;;"/>
    <numFmt numFmtId="172" formatCode="0.0"/>
    <numFmt numFmtId="173" formatCode="#.000"/>
  </numFmts>
  <fonts count="5" x14ac:knownFonts="1">
    <font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i/>
      <sz val="11"/>
      <color theme="7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2" fontId="1" fillId="3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9" xfId="0" applyFont="1" applyFill="1" applyBorder="1"/>
    <xf numFmtId="165" fontId="1" fillId="4" borderId="10" xfId="0" applyNumberFormat="1" applyFont="1" applyFill="1" applyBorder="1" applyAlignment="1">
      <alignment horizontal="center"/>
    </xf>
    <xf numFmtId="165" fontId="1" fillId="4" borderId="8" xfId="0" applyNumberFormat="1" applyFont="1" applyFill="1" applyBorder="1" applyAlignment="1">
      <alignment horizontal="center"/>
    </xf>
    <xf numFmtId="12" fontId="2" fillId="2" borderId="9" xfId="0" applyNumberFormat="1" applyFont="1" applyFill="1" applyBorder="1"/>
    <xf numFmtId="12" fontId="1" fillId="4" borderId="10" xfId="0" applyNumberFormat="1" applyFont="1" applyFill="1" applyBorder="1" applyAlignment="1">
      <alignment horizontal="center"/>
    </xf>
    <xf numFmtId="12" fontId="1" fillId="4" borderId="8" xfId="0" applyNumberFormat="1" applyFont="1" applyFill="1" applyBorder="1" applyAlignment="1">
      <alignment horizontal="center"/>
    </xf>
    <xf numFmtId="0" fontId="1" fillId="5" borderId="5" xfId="0" applyFont="1" applyFill="1" applyBorder="1"/>
    <xf numFmtId="0" fontId="1" fillId="5" borderId="1" xfId="0" applyFont="1" applyFill="1" applyBorder="1"/>
    <xf numFmtId="167" fontId="1" fillId="5" borderId="1" xfId="0" applyNumberFormat="1" applyFont="1" applyFill="1" applyBorder="1" applyAlignment="1">
      <alignment horizontal="center"/>
    </xf>
    <xf numFmtId="0" fontId="1" fillId="5" borderId="6" xfId="0" applyFont="1" applyFill="1" applyBorder="1"/>
    <xf numFmtId="164" fontId="1" fillId="5" borderId="3" xfId="0" applyNumberFormat="1" applyFont="1" applyFill="1" applyBorder="1"/>
    <xf numFmtId="166" fontId="1" fillId="5" borderId="0" xfId="0" applyNumberFormat="1" applyFont="1" applyFill="1"/>
    <xf numFmtId="164" fontId="1" fillId="5" borderId="1" xfId="0" applyNumberFormat="1" applyFont="1" applyFill="1" applyBorder="1"/>
    <xf numFmtId="164" fontId="1" fillId="5" borderId="7" xfId="0" applyNumberFormat="1" applyFont="1" applyFill="1" applyBorder="1"/>
    <xf numFmtId="0" fontId="0" fillId="0" borderId="1" xfId="0" applyBorder="1"/>
    <xf numFmtId="0" fontId="3" fillId="0" borderId="0" xfId="0" applyFont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70" fontId="0" fillId="0" borderId="0" xfId="0" applyNumberFormat="1"/>
    <xf numFmtId="14" fontId="0" fillId="0" borderId="1" xfId="0" applyNumberFormat="1" applyBorder="1"/>
    <xf numFmtId="0" fontId="4" fillId="0" borderId="1" xfId="0" applyFont="1" applyBorder="1"/>
    <xf numFmtId="172" fontId="0" fillId="0" borderId="1" xfId="0" applyNumberFormat="1" applyBorder="1"/>
    <xf numFmtId="2" fontId="0" fillId="0" borderId="1" xfId="0" applyNumberFormat="1" applyBorder="1"/>
    <xf numFmtId="173" fontId="0" fillId="0" borderId="1" xfId="0" applyNumberFormat="1" applyBorder="1"/>
    <xf numFmtId="167" fontId="1" fillId="5" borderId="0" xfId="0" applyNumberFormat="1" applyFont="1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7" formatCode="&quot;₹&quot;\ #,##0.00;[Red]&quot;₹&quot;\ #,##0.00"/>
      <fill>
        <patternFill patternType="solid">
          <fgColor indexed="64"/>
          <bgColor theme="9" tint="0.59996337778862885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7" formatCode="#\ ?/?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7" formatCode="#\ ?/?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7" formatCode="#\ ?/?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5" formatCode="0.0%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5" formatCode="0.0%"/>
      <fill>
        <patternFill patternType="solid">
          <fgColor indexed="64"/>
          <bgColor theme="8" tint="0.5999633777886288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6" formatCode="[$-10409]hh:mm:ss\ AM/PM;@"/>
      <fill>
        <patternFill patternType="solid">
          <fgColor indexed="64"/>
          <bgColor theme="9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4" formatCode="[$-F800]dddd\,\ mmmm\ dd\,\ yyyy"/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2" formatCode="0.00"/>
      <fill>
        <patternFill patternType="solid">
          <fgColor indexed="64"/>
          <bgColor theme="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numFmt numFmtId="167" formatCode="&quot;₹&quot;\ #,##0.00;[Red]&quot;₹&quot;\ #,##0.00"/>
      <fill>
        <patternFill patternType="solid">
          <fgColor indexed="64"/>
          <bgColor theme="9" tint="0.599963377788628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  <fill>
        <patternFill patternType="solid">
          <fgColor indexed="64"/>
          <bgColor theme="9" tint="0.599963377788628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v>Total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52532.99</c:v>
              </c:pt>
              <c:pt idx="1">
                <c:v>43963.670000000006</c:v>
              </c:pt>
              <c:pt idx="2">
                <c:v>45179.18</c:v>
              </c:pt>
              <c:pt idx="3">
                <c:v>42463.749999999993</c:v>
              </c:pt>
            </c:numLit>
          </c:val>
          <c:extLst>
            <c:ext xmlns:c16="http://schemas.microsoft.com/office/drawing/2014/chart" uri="{C3380CC4-5D6E-409C-BE32-E72D297353CC}">
              <c16:uniqueId val="{00000004-E8AF-48AC-A86E-83DE2DE02B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1328560"/>
        <c:axId val="1511329040"/>
      </c:barChart>
      <c:catAx>
        <c:axId val="151132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29040"/>
        <c:crosses val="autoZero"/>
        <c:auto val="1"/>
        <c:lblAlgn val="ctr"/>
        <c:lblOffset val="100"/>
        <c:noMultiLvlLbl val="0"/>
      </c:catAx>
      <c:valAx>
        <c:axId val="151132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285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Quantity_Sold by Product_Category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Food</c:v>
              </c:pt>
              <c:pt idx="3">
                <c:v>Furniture</c:v>
              </c:pt>
            </c:strLit>
          </c:cat>
          <c:val>
            <c:numLit>
              <c:formatCode>General</c:formatCode>
              <c:ptCount val="4"/>
              <c:pt idx="0">
                <c:v>196</c:v>
              </c:pt>
              <c:pt idx="1">
                <c:v>137</c:v>
              </c:pt>
              <c:pt idx="2">
                <c:v>237</c:v>
              </c:pt>
              <c:pt idx="3">
                <c:v>506</c:v>
              </c:pt>
            </c:numLit>
          </c:val>
          <c:extLst>
            <c:ext xmlns:c16="http://schemas.microsoft.com/office/drawing/2014/chart" uri="{C3380CC4-5D6E-409C-BE32-E72D297353CC}">
              <c16:uniqueId val="{00000000-A1F4-4EED-8987-E94F163B77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1896656"/>
        <c:axId val="1641895216"/>
      </c:barChart>
      <c:catAx>
        <c:axId val="164189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895216"/>
        <c:crosses val="autoZero"/>
        <c:auto val="1"/>
        <c:lblAlgn val="ctr"/>
        <c:lblOffset val="100"/>
        <c:noMultiLvlLbl val="0"/>
      </c:catAx>
      <c:valAx>
        <c:axId val="16418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89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Sheet1!$AO$6:$AO$47</c:f>
              <c:numCache>
                <c:formatCode>General</c:formatCode>
                <c:ptCount val="42"/>
                <c:pt idx="0">
                  <c:v>0.09</c:v>
                </c:pt>
                <c:pt idx="1">
                  <c:v>0.11</c:v>
                </c:pt>
                <c:pt idx="2">
                  <c:v>0.2</c:v>
                </c:pt>
                <c:pt idx="3">
                  <c:v>0.02</c:v>
                </c:pt>
                <c:pt idx="4">
                  <c:v>0.08</c:v>
                </c:pt>
                <c:pt idx="5">
                  <c:v>0.21</c:v>
                </c:pt>
                <c:pt idx="6">
                  <c:v>0.14000000000000001</c:v>
                </c:pt>
                <c:pt idx="7">
                  <c:v>0.12</c:v>
                </c:pt>
                <c:pt idx="8">
                  <c:v>0.05</c:v>
                </c:pt>
                <c:pt idx="9">
                  <c:v>0.13</c:v>
                </c:pt>
                <c:pt idx="10">
                  <c:v>0.23</c:v>
                </c:pt>
                <c:pt idx="11">
                  <c:v>0.08</c:v>
                </c:pt>
                <c:pt idx="12">
                  <c:v>0</c:v>
                </c:pt>
                <c:pt idx="13">
                  <c:v>0.2</c:v>
                </c:pt>
                <c:pt idx="14">
                  <c:v>0.28999999999999998</c:v>
                </c:pt>
                <c:pt idx="15">
                  <c:v>0.18</c:v>
                </c:pt>
                <c:pt idx="16">
                  <c:v>0.04</c:v>
                </c:pt>
                <c:pt idx="17">
                  <c:v>0.1</c:v>
                </c:pt>
                <c:pt idx="18">
                  <c:v>0.26</c:v>
                </c:pt>
                <c:pt idx="19">
                  <c:v>7.0000000000000007E-2</c:v>
                </c:pt>
                <c:pt idx="20">
                  <c:v>0.18</c:v>
                </c:pt>
                <c:pt idx="21">
                  <c:v>0.12</c:v>
                </c:pt>
                <c:pt idx="22">
                  <c:v>0.06</c:v>
                </c:pt>
                <c:pt idx="23">
                  <c:v>0.24</c:v>
                </c:pt>
                <c:pt idx="24">
                  <c:v>0.22</c:v>
                </c:pt>
                <c:pt idx="25">
                  <c:v>0.2</c:v>
                </c:pt>
                <c:pt idx="26">
                  <c:v>7.0000000000000007E-2</c:v>
                </c:pt>
                <c:pt idx="27">
                  <c:v>0.03</c:v>
                </c:pt>
                <c:pt idx="28">
                  <c:v>0.17</c:v>
                </c:pt>
                <c:pt idx="29">
                  <c:v>0.17</c:v>
                </c:pt>
                <c:pt idx="30">
                  <c:v>0.06</c:v>
                </c:pt>
                <c:pt idx="31">
                  <c:v>0.02</c:v>
                </c:pt>
                <c:pt idx="32">
                  <c:v>0.02</c:v>
                </c:pt>
                <c:pt idx="33">
                  <c:v>0.3</c:v>
                </c:pt>
                <c:pt idx="34">
                  <c:v>0.24</c:v>
                </c:pt>
                <c:pt idx="35">
                  <c:v>0.28000000000000003</c:v>
                </c:pt>
                <c:pt idx="36">
                  <c:v>0.06</c:v>
                </c:pt>
                <c:pt idx="37">
                  <c:v>0.28999999999999998</c:v>
                </c:pt>
                <c:pt idx="38">
                  <c:v>0.04</c:v>
                </c:pt>
                <c:pt idx="39">
                  <c:v>0.15</c:v>
                </c:pt>
                <c:pt idx="40">
                  <c:v>0.25</c:v>
                </c:pt>
                <c:pt idx="4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D-4C86-84F8-F09076EAAB2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Sheet1!$AP$6:$AP$47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0D-4C86-84F8-F09076EAA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998352"/>
        <c:axId val="1520999312"/>
      </c:lineChart>
      <c:catAx>
        <c:axId val="152099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99312"/>
        <c:crosses val="autoZero"/>
        <c:auto val="1"/>
        <c:lblAlgn val="ctr"/>
        <c:lblOffset val="100"/>
        <c:noMultiLvlLbl val="0"/>
      </c:catAx>
      <c:valAx>
        <c:axId val="152099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9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Sales_Channel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803149606299209E-2"/>
          <c:y val="0.18097222222222226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Online</c:v>
              </c:pt>
              <c:pt idx="1">
                <c:v>Retail</c:v>
              </c:pt>
            </c:strLit>
          </c:cat>
          <c:val>
            <c:numLit>
              <c:formatCode>General</c:formatCode>
              <c:ptCount val="2"/>
              <c:pt idx="0">
                <c:v>24</c:v>
              </c:pt>
              <c:pt idx="1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8390-4D13-8629-25840D32D9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2345344"/>
        <c:axId val="1662347264"/>
      </c:barChart>
      <c:catAx>
        <c:axId val="16623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47264"/>
        <c:crosses val="autoZero"/>
        <c:auto val="1"/>
        <c:lblAlgn val="ctr"/>
        <c:lblOffset val="100"/>
        <c:noMultiLvlLbl val="0"/>
      </c:catAx>
      <c:valAx>
        <c:axId val="16623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4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5C0CC576-B976-4FF5-9667-977BB86618F6}" formatIdx="0">
          <cx:tx>
            <cx:txData>
              <cx:f>_xlchart.v1.0</cx:f>
              <cx:v>Quantity_Sold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  <cx:axisId val="1"/>
        </cx:series>
        <cx:series layoutId="paretoLine" ownerIdx="0" uniqueId="{C8761C80-17C6-402E-BB41-586B326D0972}" formatIdx="1">
          <cx:axisId val="2"/>
        </cx:series>
        <cx:series layoutId="clusteredColumn" hidden="1" uniqueId="{C000A097-CF68-461C-A97B-71C73D551DDD}" formatIdx="2">
          <cx:tx>
            <cx:txData>
              <cx:f>_xlchart.v1.2</cx:f>
              <cx:v>Product_Category</cx:v>
            </cx:txData>
          </cx:tx>
          <cx:dataLabels/>
          <cx:dataId val="1"/>
          <cx:layoutPr>
            <cx:binning intervalClosed="r"/>
          </cx:layoutPr>
          <cx:axisId val="1"/>
        </cx:series>
        <cx:series layoutId="paretoLine" ownerIdx="2" uniqueId="{2CB36CD1-53FB-45FB-81CE-2CF20BEC08E3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276225</xdr:colOff>
      <xdr:row>4</xdr:row>
      <xdr:rowOff>9524</xdr:rowOff>
    </xdr:from>
    <xdr:to>
      <xdr:col>51</xdr:col>
      <xdr:colOff>581025</xdr:colOff>
      <xdr:row>18</xdr:row>
      <xdr:rowOff>90486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6938205-DB34-E164-54FF-90D3E23C39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90425" y="819149"/>
              <a:ext cx="4572000" cy="27574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295275</xdr:colOff>
      <xdr:row>20</xdr:row>
      <xdr:rowOff>166687</xdr:rowOff>
    </xdr:from>
    <xdr:to>
      <xdr:col>51</xdr:col>
      <xdr:colOff>600075</xdr:colOff>
      <xdr:row>35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388412-0EC4-FC53-FBD1-480C1D3A7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11</xdr:row>
      <xdr:rowOff>0</xdr:rowOff>
    </xdr:from>
    <xdr:to>
      <xdr:col>59</xdr:col>
      <xdr:colOff>209550</xdr:colOff>
      <xdr:row>25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7615F8-DD62-49FD-9BBA-B8FE4BCFA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52</xdr:col>
      <xdr:colOff>447675</xdr:colOff>
      <xdr:row>26</xdr:row>
      <xdr:rowOff>176212</xdr:rowOff>
    </xdr:from>
    <xdr:to>
      <xdr:col>59</xdr:col>
      <xdr:colOff>47625</xdr:colOff>
      <xdr:row>41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F8F9A4-2326-793F-8FEA-785006D33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78441</xdr:colOff>
      <xdr:row>42</xdr:row>
      <xdr:rowOff>168088</xdr:rowOff>
    </xdr:from>
    <xdr:to>
      <xdr:col>50</xdr:col>
      <xdr:colOff>560294</xdr:colOff>
      <xdr:row>57</xdr:row>
      <xdr:rowOff>53788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7025B3-1BC9-43FE-8F20-5C85E870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752824074" createdVersion="8" refreshedVersion="8" minRefreshableVersion="3" recordCount="42" xr:uid="{53C99FFA-BC55-43D6-B7A8-5116133B410B}">
  <cacheSource type="worksheet">
    <worksheetSource ref="AE5:AR47" sheet="Sheet1"/>
  </cacheSource>
  <cacheFields count="14">
    <cacheField name="Product_ID" numFmtId="0">
      <sharedItems containsSemiMixedTypes="0" containsString="0" containsNumber="1" containsInteger="1" minValue="1002" maxValue="1100"/>
    </cacheField>
    <cacheField name="Sale_Date" numFmtId="14">
      <sharedItems containsSemiMixedTypes="0" containsNonDate="0" containsDate="1" containsString="0" minDate="2023-01-04T00:00:00" maxDate="2024-01-01T00:00:00"/>
    </cacheField>
    <cacheField name="Sales_Rep" numFmtId="0">
      <sharedItems/>
    </cacheField>
    <cacheField name="Region" numFmtId="0">
      <sharedItems/>
    </cacheField>
    <cacheField name="Sales_Amount" numFmtId="0">
      <sharedItems containsSemiMixedTypes="0" containsString="0" containsNumber="1" minValue="245.46" maxValue="8913.1299999999992"/>
    </cacheField>
    <cacheField name="Quantity_Sold" numFmtId="0">
      <sharedItems containsSemiMixedTypes="0" containsString="0" containsNumber="1" containsInteger="1" minValue="1" maxValue="48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121.19" maxValue="4904.93"/>
    </cacheField>
    <cacheField name="Unit_Price" numFmtId="0">
      <sharedItems containsSemiMixedTypes="0" containsString="0" containsNumber="1" minValue="267.22000000000003" maxValue="5166.72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/>
    </cacheField>
    <cacheField name="Region_and_Sales_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93763194446" createdVersion="8" refreshedVersion="8" minRefreshableVersion="3" recordCount="42" xr:uid="{418A52A7-A0CC-4419-AC28-146713EF762C}">
  <cacheSource type="worksheet">
    <worksheetSource ref="AE5:AR47" sheet="Sheet1"/>
  </cacheSource>
  <cacheFields count="14">
    <cacheField name="Product_ID" numFmtId="0">
      <sharedItems containsSemiMixedTypes="0" containsString="0" containsNumber="1" containsInteger="1" minValue="1002" maxValue="1100"/>
    </cacheField>
    <cacheField name="Sale_Date" numFmtId="14">
      <sharedItems containsSemiMixedTypes="0" containsNonDate="0" containsDate="1" containsString="0" minDate="2023-01-04T00:00:00" maxDate="2024-01-01T00:00:00"/>
    </cacheField>
    <cacheField name="Sales_Rep" numFmtId="0">
      <sharedItems/>
    </cacheField>
    <cacheField name="Region" numFmtId="0">
      <sharedItems/>
    </cacheField>
    <cacheField name="Sales_Amount" numFmtId="0">
      <sharedItems containsSemiMixedTypes="0" containsString="0" containsNumber="1" minValue="245.46" maxValue="8913.1299999999992"/>
    </cacheField>
    <cacheField name="Quantity_Sold" numFmtId="0">
      <sharedItems containsSemiMixedTypes="0" containsString="0" containsNumber="1" containsInteger="1" minValue="1" maxValue="48"/>
    </cacheField>
    <cacheField name="Product_Category" numFmtId="0">
      <sharedItems/>
    </cacheField>
    <cacheField name="Unit_Cost" numFmtId="0">
      <sharedItems containsSemiMixedTypes="0" containsString="0" containsNumber="1" minValue="121.19" maxValue="4904.93"/>
    </cacheField>
    <cacheField name="Unit_Price" numFmtId="0">
      <sharedItems containsSemiMixedTypes="0" containsString="0" containsNumber="1" minValue="267.22000000000003" maxValue="5166.72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 count="2">
        <s v="Online"/>
        <s v="Retail"/>
      </sharedItems>
    </cacheField>
    <cacheField name="Region_and_Sales_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1052"/>
    <d v="2023-02-03T00:00:00"/>
    <s v="Bob"/>
    <s v="North"/>
    <n v="5053.97"/>
    <n v="18"/>
    <x v="0"/>
    <n v="152.75"/>
    <n v="267.22000000000003"/>
    <s v="Returning"/>
    <n v="0.09"/>
    <s v="Cash"/>
    <s v="Online"/>
    <s v="North-Bob"/>
  </r>
  <r>
    <n v="1093"/>
    <d v="2023-04-21T00:00:00"/>
    <s v="Bob"/>
    <s v="West"/>
    <n v="4384.0200000000004"/>
    <n v="17"/>
    <x v="0"/>
    <n v="3816.39"/>
    <n v="4209.4399999999996"/>
    <s v="Returning"/>
    <n v="0.11"/>
    <s v="Cash"/>
    <s v="Retail"/>
    <s v="West-Bob"/>
  </r>
  <r>
    <n v="1015"/>
    <d v="2023-09-21T00:00:00"/>
    <s v="David"/>
    <s v="South"/>
    <n v="4631.2299999999996"/>
    <n v="30"/>
    <x v="1"/>
    <n v="261.56"/>
    <n v="371.4"/>
    <s v="Returning"/>
    <n v="0.2"/>
    <s v="Bank Transfer"/>
    <s v="Retail"/>
    <s v="South-David"/>
  </r>
  <r>
    <n v="1072"/>
    <d v="2023-08-24T00:00:00"/>
    <s v="Bob"/>
    <s v="South"/>
    <n v="2167.94"/>
    <n v="39"/>
    <x v="2"/>
    <n v="4330.03"/>
    <n v="4467.75"/>
    <s v="New"/>
    <n v="0.02"/>
    <s v="Credit Card"/>
    <s v="Retail"/>
    <s v="South-Bob"/>
  </r>
  <r>
    <n v="1061"/>
    <d v="2023-03-24T00:00:00"/>
    <s v="Charlie"/>
    <s v="East"/>
    <n v="3750.2"/>
    <n v="13"/>
    <x v="3"/>
    <n v="637.37"/>
    <n v="692.71"/>
    <s v="New"/>
    <n v="0.08"/>
    <s v="Credit Card"/>
    <s v="Online"/>
    <s v="East-Charlie"/>
  </r>
  <r>
    <n v="1021"/>
    <d v="2023-02-11T00:00:00"/>
    <s v="Charlie"/>
    <s v="West"/>
    <n v="3761.15"/>
    <n v="32"/>
    <x v="1"/>
    <n v="900.79"/>
    <n v="1106.51"/>
    <s v="New"/>
    <n v="0.21"/>
    <s v="Cash"/>
    <s v="Online"/>
    <s v="West-Charlie"/>
  </r>
  <r>
    <n v="1083"/>
    <d v="2023-04-11T00:00:00"/>
    <s v="Bob"/>
    <s v="West"/>
    <n v="618.30999999999995"/>
    <n v="29"/>
    <x v="0"/>
    <n v="2408.81"/>
    <n v="2624.09"/>
    <s v="Returning"/>
    <n v="0.14000000000000001"/>
    <s v="Cash"/>
    <s v="Online"/>
    <s v="West-Bob"/>
  </r>
  <r>
    <n v="1087"/>
    <d v="2023-01-06T00:00:00"/>
    <s v="Eve"/>
    <s v="South"/>
    <n v="7698.92"/>
    <n v="46"/>
    <x v="0"/>
    <n v="3702.51"/>
    <n v="3964.65"/>
    <s v="New"/>
    <n v="0.12"/>
    <s v="Bank Transfer"/>
    <s v="Online"/>
    <s v="South-Eve"/>
  </r>
  <r>
    <n v="1075"/>
    <d v="2023-06-29T00:00:00"/>
    <s v="David"/>
    <s v="South"/>
    <n v="4223.3900000000003"/>
    <n v="30"/>
    <x v="0"/>
    <n v="738.06"/>
    <n v="1095.44999999999"/>
    <s v="New"/>
    <n v="0.05"/>
    <s v="Bank Transfer"/>
    <s v="Online"/>
    <s v="South-David"/>
  </r>
  <r>
    <n v="1075"/>
    <d v="2023-10-09T00:00:00"/>
    <s v="Charlie"/>
    <s v="West"/>
    <n v="8239.58"/>
    <n v="18"/>
    <x v="2"/>
    <n v="2228.35"/>
    <n v="2682.34"/>
    <s v="New"/>
    <n v="0.13"/>
    <s v="Bank Transfer"/>
    <s v="Online"/>
    <s v="West-Charlie"/>
  </r>
  <r>
    <n v="1088"/>
    <d v="2023-11-16T00:00:00"/>
    <s v="Eve"/>
    <s v="North"/>
    <n v="8518.4500000000007"/>
    <n v="13"/>
    <x v="0"/>
    <n v="2440.11"/>
    <n v="2517.6"/>
    <s v="New"/>
    <n v="0.23"/>
    <s v="Bank Transfer"/>
    <s v="Retail"/>
    <s v="North-Eve"/>
  </r>
  <r>
    <n v="1100"/>
    <d v="2023-08-14T00:00:00"/>
    <s v="Bob"/>
    <s v="West"/>
    <n v="2198.7399999999998"/>
    <n v="43"/>
    <x v="1"/>
    <n v="1100.81"/>
    <n v="1137.44"/>
    <s v="Returning"/>
    <n v="0.08"/>
    <s v="Bank Transfer"/>
    <s v="Online"/>
    <s v="West-Bob"/>
  </r>
  <r>
    <n v="1024"/>
    <d v="2023-11-11T00:00:00"/>
    <s v="Eve"/>
    <s v="West"/>
    <n v="6607.8"/>
    <n v="21"/>
    <x v="1"/>
    <n v="622.01"/>
    <n v="641.09"/>
    <s v="Returning"/>
    <n v="0"/>
    <s v="Bank Transfer"/>
    <s v="Retail"/>
    <s v="West-Eve"/>
  </r>
  <r>
    <n v="1003"/>
    <d v="2023-12-31T00:00:00"/>
    <s v="Alice"/>
    <s v="South"/>
    <n v="4775.59"/>
    <n v="30"/>
    <x v="0"/>
    <n v="4190.28"/>
    <n v="4270.6499999999996"/>
    <s v="New"/>
    <n v="0.2"/>
    <s v="Cash"/>
    <s v="Online"/>
    <s v="South-Alice"/>
  </r>
  <r>
    <n v="1022"/>
    <d v="2023-08-17T00:00:00"/>
    <s v="Charlie"/>
    <s v="South"/>
    <n v="8813.5499999999993"/>
    <n v="21"/>
    <x v="1"/>
    <n v="2537.1999999999998"/>
    <n v="2869.6"/>
    <s v="New"/>
    <n v="0.28999999999999998"/>
    <s v="Bank Transfer"/>
    <s v="Retail"/>
    <s v="South-Charlie"/>
  </r>
  <r>
    <n v="1053"/>
    <d v="2023-10-16T00:00:00"/>
    <s v="Bob"/>
    <s v="North"/>
    <n v="2235.83"/>
    <n v="48"/>
    <x v="0"/>
    <n v="121.19"/>
    <n v="487.65"/>
    <s v="New"/>
    <n v="0.18"/>
    <s v="Cash"/>
    <s v="Retail"/>
    <s v="North-Bob"/>
  </r>
  <r>
    <n v="1002"/>
    <d v="2023-05-30T00:00:00"/>
    <s v="David"/>
    <s v="North"/>
    <n v="6810.35"/>
    <n v="17"/>
    <x v="0"/>
    <n v="4024.76"/>
    <n v="4420.1499999999996"/>
    <s v="Returning"/>
    <n v="0.04"/>
    <s v="Cash"/>
    <s v="Online"/>
    <s v="North-David"/>
  </r>
  <r>
    <n v="1088"/>
    <d v="2023-10-04T00:00:00"/>
    <s v="Bob"/>
    <s v="East"/>
    <n v="6116.75"/>
    <n v="40"/>
    <x v="3"/>
    <n v="4904.93"/>
    <n v="5034.3500000000004"/>
    <s v="New"/>
    <n v="0.1"/>
    <s v="Credit Card"/>
    <s v="Retail"/>
    <s v="East-Bob"/>
  </r>
  <r>
    <n v="1030"/>
    <d v="2023-07-17T00:00:00"/>
    <s v="David"/>
    <s v="West"/>
    <n v="3023.48"/>
    <n v="19"/>
    <x v="2"/>
    <n v="3049.33"/>
    <n v="3209.22"/>
    <s v="Returning"/>
    <n v="0.26"/>
    <s v="Cash"/>
    <s v="Online"/>
    <s v="West-David"/>
  </r>
  <r>
    <n v="1038"/>
    <d v="2023-03-11T00:00:00"/>
    <s v="Bob"/>
    <s v="South"/>
    <n v="1452.35"/>
    <n v="15"/>
    <x v="2"/>
    <n v="2543.36"/>
    <n v="2790.1"/>
    <s v="Returning"/>
    <n v="7.0000000000000007E-2"/>
    <s v="Cash"/>
    <s v="Online"/>
    <s v="South-Bob"/>
  </r>
  <r>
    <n v="1002"/>
    <d v="2023-04-22T00:00:00"/>
    <s v="Eve"/>
    <s v="North"/>
    <n v="6551.23"/>
    <n v="9"/>
    <x v="3"/>
    <n v="4398.16"/>
    <n v="4439.12"/>
    <s v="New"/>
    <n v="0.18"/>
    <s v="Bank Transfer"/>
    <s v="Online"/>
    <s v="North-Eve"/>
  </r>
  <r>
    <n v="1064"/>
    <d v="2023-01-04T00:00:00"/>
    <s v="Eve"/>
    <s v="East"/>
    <n v="7412.11"/>
    <n v="10"/>
    <x v="3"/>
    <n v="4764.96"/>
    <n v="5074.42"/>
    <s v="New"/>
    <n v="0.12"/>
    <s v="Cash"/>
    <s v="Online"/>
    <s v="East-Eve"/>
  </r>
  <r>
    <n v="1060"/>
    <d v="2023-12-16T00:00:00"/>
    <s v="Eve"/>
    <s v="East"/>
    <n v="3224.71"/>
    <n v="44"/>
    <x v="2"/>
    <n v="3784.96"/>
    <n v="4276.99"/>
    <s v="New"/>
    <n v="0.06"/>
    <s v="Bank Transfer"/>
    <s v="Retail"/>
    <s v="East-Eve"/>
  </r>
  <r>
    <n v="1021"/>
    <d v="2023-11-27T00:00:00"/>
    <s v="Alice"/>
    <s v="South"/>
    <n v="6483.84"/>
    <n v="31"/>
    <x v="0"/>
    <n v="2254.9899999999998"/>
    <n v="2441.79"/>
    <s v="Returning"/>
    <n v="0.24"/>
    <s v="Bank Transfer"/>
    <s v="Online"/>
    <s v="South-Alice"/>
  </r>
  <r>
    <n v="1033"/>
    <d v="2023-11-14T00:00:00"/>
    <s v="David"/>
    <s v="South"/>
    <n v="4011.8"/>
    <n v="23"/>
    <x v="0"/>
    <n v="2981.5"/>
    <n v="3360.4"/>
    <s v="Returning"/>
    <n v="0.22"/>
    <s v="Bank Transfer"/>
    <s v="Retail"/>
    <s v="South-David"/>
  </r>
  <r>
    <n v="1076"/>
    <d v="2023-12-16T00:00:00"/>
    <s v="Eve"/>
    <s v="East"/>
    <n v="7160.75"/>
    <n v="30"/>
    <x v="2"/>
    <n v="3519.63"/>
    <n v="3774.65"/>
    <s v="New"/>
    <n v="0.2"/>
    <s v="Credit Card"/>
    <s v="Retail"/>
    <s v="East-Eve"/>
  </r>
  <r>
    <n v="1058"/>
    <d v="2023-04-05T00:00:00"/>
    <s v="Alice"/>
    <s v="North"/>
    <n v="2072.23"/>
    <n v="33"/>
    <x v="0"/>
    <n v="1011.65"/>
    <n v="1084.28"/>
    <s v="Returning"/>
    <n v="7.0000000000000007E-2"/>
    <s v="Bank Transfer"/>
    <s v="Retail"/>
    <s v="North-Alice"/>
  </r>
  <r>
    <n v="1022"/>
    <d v="2023-06-01T00:00:00"/>
    <s v="David"/>
    <s v="East"/>
    <n v="8913.1299999999992"/>
    <n v="9"/>
    <x v="3"/>
    <n v="2263.65"/>
    <n v="2558.9499999999998"/>
    <s v="New"/>
    <n v="0.03"/>
    <s v="Cash"/>
    <s v="Online"/>
    <s v="East-David"/>
  </r>
  <r>
    <n v="1089"/>
    <d v="2023-11-07T00:00:00"/>
    <s v="Bob"/>
    <s v="West"/>
    <n v="2945.36"/>
    <n v="47"/>
    <x v="0"/>
    <n v="4157.62"/>
    <n v="4314.5599999999904"/>
    <s v="New"/>
    <n v="0.17"/>
    <s v="Bank Transfer"/>
    <s v="Retail"/>
    <s v="West-Bob"/>
  </r>
  <r>
    <n v="1049"/>
    <d v="2023-05-17T00:00:00"/>
    <s v="Alice"/>
    <s v="West"/>
    <n v="3741.08"/>
    <n v="1"/>
    <x v="0"/>
    <n v="3290.89"/>
    <n v="3317.75"/>
    <s v="Returning"/>
    <n v="0.17"/>
    <s v="Bank Transfer"/>
    <s v="Online"/>
    <s v="West-Alice"/>
  </r>
  <r>
    <n v="1091"/>
    <d v="2023-09-04T00:00:00"/>
    <s v="Charlie"/>
    <s v="South"/>
    <n v="675.11"/>
    <n v="44"/>
    <x v="1"/>
    <n v="2085.46"/>
    <n v="2406.58"/>
    <s v="Returning"/>
    <n v="0.06"/>
    <s v="Bank Transfer"/>
    <s v="Retail"/>
    <s v="South-Charlie"/>
  </r>
  <r>
    <n v="1059"/>
    <d v="2023-08-31T00:00:00"/>
    <s v="Alice"/>
    <s v="North"/>
    <n v="1203.97"/>
    <n v="35"/>
    <x v="1"/>
    <n v="3333.64"/>
    <n v="3764.52"/>
    <s v="Returning"/>
    <n v="0.02"/>
    <s v="Credit Card"/>
    <s v="Online"/>
    <s v="North-Alice"/>
  </r>
  <r>
    <n v="1042"/>
    <d v="2023-01-31T00:00:00"/>
    <s v="Alice"/>
    <s v="North"/>
    <n v="5207.03"/>
    <n v="11"/>
    <x v="1"/>
    <n v="635.20000000000005"/>
    <n v="814.14"/>
    <s v="Returning"/>
    <n v="0.02"/>
    <s v="Cash"/>
    <s v="Online"/>
    <s v="North-Alice"/>
  </r>
  <r>
    <n v="1092"/>
    <d v="2023-02-09T00:00:00"/>
    <s v="David"/>
    <s v="West"/>
    <n v="2749.17"/>
    <n v="34"/>
    <x v="0"/>
    <n v="2037.41"/>
    <n v="2238.65"/>
    <s v="New"/>
    <n v="0.3"/>
    <s v="Credit Card"/>
    <s v="Online"/>
    <s v="West-David"/>
  </r>
  <r>
    <n v="1060"/>
    <d v="2023-08-17T00:00:00"/>
    <s v="Bob"/>
    <s v="East"/>
    <n v="8371.25"/>
    <n v="16"/>
    <x v="2"/>
    <n v="3975.99"/>
    <n v="4422.59"/>
    <s v="New"/>
    <n v="0.24"/>
    <s v="Cash"/>
    <s v="Online"/>
    <s v="East-Bob"/>
  </r>
  <r>
    <n v="1080"/>
    <d v="2023-02-05T00:00:00"/>
    <s v="Charlie"/>
    <s v="South"/>
    <n v="245.46"/>
    <n v="9"/>
    <x v="3"/>
    <n v="1141.52"/>
    <n v="1550.19"/>
    <s v="New"/>
    <n v="0.28000000000000003"/>
    <s v="Credit Card"/>
    <s v="Retail"/>
    <s v="South-Charlie"/>
  </r>
  <r>
    <n v="1015"/>
    <d v="2023-08-11T00:00:00"/>
    <s v="Eve"/>
    <s v="East"/>
    <n v="3853.03"/>
    <n v="32"/>
    <x v="0"/>
    <n v="970.51"/>
    <n v="1330.84"/>
    <s v="Returning"/>
    <n v="0.06"/>
    <s v="Cash"/>
    <s v="Retail"/>
    <s v="East-Eve"/>
  </r>
  <r>
    <n v="1062"/>
    <d v="2023-01-06T00:00:00"/>
    <s v="Eve"/>
    <s v="East"/>
    <n v="3439.72"/>
    <n v="15"/>
    <x v="2"/>
    <n v="4756.55"/>
    <n v="4888.46"/>
    <s v="New"/>
    <n v="0.28999999999999998"/>
    <s v="Credit Card"/>
    <s v="Online"/>
    <s v="East-Eve"/>
  </r>
  <r>
    <n v="1062"/>
    <d v="2023-11-18T00:00:00"/>
    <s v="Alice"/>
    <s v="East"/>
    <n v="291.33999999999997"/>
    <n v="12"/>
    <x v="0"/>
    <n v="1088.99"/>
    <n v="1545"/>
    <s v="Returning"/>
    <n v="0.04"/>
    <s v="Bank Transfer"/>
    <s v="Retail"/>
    <s v="East-Alice"/>
  </r>
  <r>
    <n v="1047"/>
    <d v="2023-08-08T00:00:00"/>
    <s v="David"/>
    <s v="North"/>
    <n v="1331.25"/>
    <n v="33"/>
    <x v="3"/>
    <n v="1341.55"/>
    <n v="1427.21"/>
    <s v="Returning"/>
    <n v="0.15"/>
    <s v="Credit Card"/>
    <s v="Online"/>
    <s v="North-David"/>
  </r>
  <r>
    <n v="1062"/>
    <d v="2023-03-16T00:00:00"/>
    <s v="David"/>
    <s v="West"/>
    <n v="4195.0600000000004"/>
    <n v="45"/>
    <x v="0"/>
    <n v="4849.6000000000004"/>
    <n v="5166.72"/>
    <s v="Returning"/>
    <n v="0.25"/>
    <s v="Credit Card"/>
    <s v="Online"/>
    <s v="West-David"/>
  </r>
  <r>
    <n v="1051"/>
    <d v="2023-01-04T00:00:00"/>
    <s v="Eve"/>
    <s v="North"/>
    <n v="4979.3599999999997"/>
    <n v="14"/>
    <x v="3"/>
    <n v="3686.81"/>
    <n v="3710.92"/>
    <s v="New"/>
    <n v="0.1"/>
    <s v="Bank Transfer"/>
    <s v="Retail"/>
    <s v="North-Ev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1052"/>
    <d v="2023-02-03T00:00:00"/>
    <s v="Bob"/>
    <s v="North"/>
    <n v="5053.97"/>
    <n v="18"/>
    <s v="Furniture"/>
    <n v="152.75"/>
    <n v="267.22000000000003"/>
    <s v="Returning"/>
    <n v="0.09"/>
    <s v="Cash"/>
    <x v="0"/>
    <s v="North-Bob"/>
  </r>
  <r>
    <n v="1093"/>
    <d v="2023-04-21T00:00:00"/>
    <s v="Bob"/>
    <s v="West"/>
    <n v="4384.0200000000004"/>
    <n v="17"/>
    <s v="Furniture"/>
    <n v="3816.39"/>
    <n v="4209.4399999999996"/>
    <s v="Returning"/>
    <n v="0.11"/>
    <s v="Cash"/>
    <x v="1"/>
    <s v="West-Bob"/>
  </r>
  <r>
    <n v="1015"/>
    <d v="2023-09-21T00:00:00"/>
    <s v="David"/>
    <s v="South"/>
    <n v="4631.2299999999996"/>
    <n v="30"/>
    <s v="Food"/>
    <n v="261.56"/>
    <n v="371.4"/>
    <s v="Returning"/>
    <n v="0.2"/>
    <s v="Bank Transfer"/>
    <x v="1"/>
    <s v="South-David"/>
  </r>
  <r>
    <n v="1072"/>
    <d v="2023-08-24T00:00:00"/>
    <s v="Bob"/>
    <s v="South"/>
    <n v="2167.94"/>
    <n v="39"/>
    <s v="Clothing"/>
    <n v="4330.03"/>
    <n v="4467.75"/>
    <s v="New"/>
    <n v="0.02"/>
    <s v="Credit Card"/>
    <x v="1"/>
    <s v="South-Bob"/>
  </r>
  <r>
    <n v="1061"/>
    <d v="2023-03-24T00:00:00"/>
    <s v="Charlie"/>
    <s v="East"/>
    <n v="3750.2"/>
    <n v="13"/>
    <s v="Electronics"/>
    <n v="637.37"/>
    <n v="692.71"/>
    <s v="New"/>
    <n v="0.08"/>
    <s v="Credit Card"/>
    <x v="0"/>
    <s v="East-Charlie"/>
  </r>
  <r>
    <n v="1021"/>
    <d v="2023-02-11T00:00:00"/>
    <s v="Charlie"/>
    <s v="West"/>
    <n v="3761.15"/>
    <n v="32"/>
    <s v="Food"/>
    <n v="900.79"/>
    <n v="1106.51"/>
    <s v="New"/>
    <n v="0.21"/>
    <s v="Cash"/>
    <x v="0"/>
    <s v="West-Charlie"/>
  </r>
  <r>
    <n v="1083"/>
    <d v="2023-04-11T00:00:00"/>
    <s v="Bob"/>
    <s v="West"/>
    <n v="618.30999999999995"/>
    <n v="29"/>
    <s v="Furniture"/>
    <n v="2408.81"/>
    <n v="2624.09"/>
    <s v="Returning"/>
    <n v="0.14000000000000001"/>
    <s v="Cash"/>
    <x v="0"/>
    <s v="West-Bob"/>
  </r>
  <r>
    <n v="1087"/>
    <d v="2023-01-06T00:00:00"/>
    <s v="Eve"/>
    <s v="South"/>
    <n v="7698.92"/>
    <n v="46"/>
    <s v="Furniture"/>
    <n v="3702.51"/>
    <n v="3964.65"/>
    <s v="New"/>
    <n v="0.12"/>
    <s v="Bank Transfer"/>
    <x v="0"/>
    <s v="South-Eve"/>
  </r>
  <r>
    <n v="1075"/>
    <d v="2023-06-29T00:00:00"/>
    <s v="David"/>
    <s v="South"/>
    <n v="4223.3900000000003"/>
    <n v="30"/>
    <s v="Furniture"/>
    <n v="738.06"/>
    <n v="1095.44999999999"/>
    <s v="New"/>
    <n v="0.05"/>
    <s v="Bank Transfer"/>
    <x v="0"/>
    <s v="South-David"/>
  </r>
  <r>
    <n v="1075"/>
    <d v="2023-10-09T00:00:00"/>
    <s v="Charlie"/>
    <s v="West"/>
    <n v="8239.58"/>
    <n v="18"/>
    <s v="Clothing"/>
    <n v="2228.35"/>
    <n v="2682.34"/>
    <s v="New"/>
    <n v="0.13"/>
    <s v="Bank Transfer"/>
    <x v="0"/>
    <s v="West-Charlie"/>
  </r>
  <r>
    <n v="1088"/>
    <d v="2023-11-16T00:00:00"/>
    <s v="Eve"/>
    <s v="North"/>
    <n v="8518.4500000000007"/>
    <n v="13"/>
    <s v="Furniture"/>
    <n v="2440.11"/>
    <n v="2517.6"/>
    <s v="New"/>
    <n v="0.23"/>
    <s v="Bank Transfer"/>
    <x v="1"/>
    <s v="North-Eve"/>
  </r>
  <r>
    <n v="1100"/>
    <d v="2023-08-14T00:00:00"/>
    <s v="Bob"/>
    <s v="West"/>
    <n v="2198.7399999999998"/>
    <n v="43"/>
    <s v="Food"/>
    <n v="1100.81"/>
    <n v="1137.44"/>
    <s v="Returning"/>
    <n v="0.08"/>
    <s v="Bank Transfer"/>
    <x v="0"/>
    <s v="West-Bob"/>
  </r>
  <r>
    <n v="1024"/>
    <d v="2023-11-11T00:00:00"/>
    <s v="Eve"/>
    <s v="West"/>
    <n v="6607.8"/>
    <n v="21"/>
    <s v="Food"/>
    <n v="622.01"/>
    <n v="641.09"/>
    <s v="Returning"/>
    <n v="0"/>
    <s v="Bank Transfer"/>
    <x v="1"/>
    <s v="West-Eve"/>
  </r>
  <r>
    <n v="1003"/>
    <d v="2023-12-31T00:00:00"/>
    <s v="Alice"/>
    <s v="South"/>
    <n v="4775.59"/>
    <n v="30"/>
    <s v="Furniture"/>
    <n v="4190.28"/>
    <n v="4270.6499999999996"/>
    <s v="New"/>
    <n v="0.2"/>
    <s v="Cash"/>
    <x v="0"/>
    <s v="South-Alice"/>
  </r>
  <r>
    <n v="1022"/>
    <d v="2023-08-17T00:00:00"/>
    <s v="Charlie"/>
    <s v="South"/>
    <n v="8813.5499999999993"/>
    <n v="21"/>
    <s v="Food"/>
    <n v="2537.1999999999998"/>
    <n v="2869.6"/>
    <s v="New"/>
    <n v="0.28999999999999998"/>
    <s v="Bank Transfer"/>
    <x v="1"/>
    <s v="South-Charlie"/>
  </r>
  <r>
    <n v="1053"/>
    <d v="2023-10-16T00:00:00"/>
    <s v="Bob"/>
    <s v="North"/>
    <n v="2235.83"/>
    <n v="48"/>
    <s v="Furniture"/>
    <n v="121.19"/>
    <n v="487.65"/>
    <s v="New"/>
    <n v="0.18"/>
    <s v="Cash"/>
    <x v="1"/>
    <s v="North-Bob"/>
  </r>
  <r>
    <n v="1002"/>
    <d v="2023-05-30T00:00:00"/>
    <s v="David"/>
    <s v="North"/>
    <n v="6810.35"/>
    <n v="17"/>
    <s v="Furniture"/>
    <n v="4024.76"/>
    <n v="4420.1499999999996"/>
    <s v="Returning"/>
    <n v="0.04"/>
    <s v="Cash"/>
    <x v="0"/>
    <s v="North-David"/>
  </r>
  <r>
    <n v="1088"/>
    <d v="2023-10-04T00:00:00"/>
    <s v="Bob"/>
    <s v="East"/>
    <n v="6116.75"/>
    <n v="40"/>
    <s v="Electronics"/>
    <n v="4904.93"/>
    <n v="5034.3500000000004"/>
    <s v="New"/>
    <n v="0.1"/>
    <s v="Credit Card"/>
    <x v="1"/>
    <s v="East-Bob"/>
  </r>
  <r>
    <n v="1030"/>
    <d v="2023-07-17T00:00:00"/>
    <s v="David"/>
    <s v="West"/>
    <n v="3023.48"/>
    <n v="19"/>
    <s v="Clothing"/>
    <n v="3049.33"/>
    <n v="3209.22"/>
    <s v="Returning"/>
    <n v="0.26"/>
    <s v="Cash"/>
    <x v="0"/>
    <s v="West-David"/>
  </r>
  <r>
    <n v="1038"/>
    <d v="2023-03-11T00:00:00"/>
    <s v="Bob"/>
    <s v="South"/>
    <n v="1452.35"/>
    <n v="15"/>
    <s v="Clothing"/>
    <n v="2543.36"/>
    <n v="2790.1"/>
    <s v="Returning"/>
    <n v="7.0000000000000007E-2"/>
    <s v="Cash"/>
    <x v="0"/>
    <s v="South-Bob"/>
  </r>
  <r>
    <n v="1002"/>
    <d v="2023-04-22T00:00:00"/>
    <s v="Eve"/>
    <s v="North"/>
    <n v="6551.23"/>
    <n v="9"/>
    <s v="Electronics"/>
    <n v="4398.16"/>
    <n v="4439.12"/>
    <s v="New"/>
    <n v="0.18"/>
    <s v="Bank Transfer"/>
    <x v="0"/>
    <s v="North-Eve"/>
  </r>
  <r>
    <n v="1064"/>
    <d v="2023-01-04T00:00:00"/>
    <s v="Eve"/>
    <s v="East"/>
    <n v="7412.11"/>
    <n v="10"/>
    <s v="Electronics"/>
    <n v="4764.96"/>
    <n v="5074.42"/>
    <s v="New"/>
    <n v="0.12"/>
    <s v="Cash"/>
    <x v="0"/>
    <s v="East-Eve"/>
  </r>
  <r>
    <n v="1060"/>
    <d v="2023-12-16T00:00:00"/>
    <s v="Eve"/>
    <s v="East"/>
    <n v="3224.71"/>
    <n v="44"/>
    <s v="Clothing"/>
    <n v="3784.96"/>
    <n v="4276.99"/>
    <s v="New"/>
    <n v="0.06"/>
    <s v="Bank Transfer"/>
    <x v="1"/>
    <s v="East-Eve"/>
  </r>
  <r>
    <n v="1021"/>
    <d v="2023-11-27T00:00:00"/>
    <s v="Alice"/>
    <s v="South"/>
    <n v="6483.84"/>
    <n v="31"/>
    <s v="Furniture"/>
    <n v="2254.9899999999998"/>
    <n v="2441.79"/>
    <s v="Returning"/>
    <n v="0.24"/>
    <s v="Bank Transfer"/>
    <x v="0"/>
    <s v="South-Alice"/>
  </r>
  <r>
    <n v="1033"/>
    <d v="2023-11-14T00:00:00"/>
    <s v="David"/>
    <s v="South"/>
    <n v="4011.8"/>
    <n v="23"/>
    <s v="Furniture"/>
    <n v="2981.5"/>
    <n v="3360.4"/>
    <s v="Returning"/>
    <n v="0.22"/>
    <s v="Bank Transfer"/>
    <x v="1"/>
    <s v="South-David"/>
  </r>
  <r>
    <n v="1076"/>
    <d v="2023-12-16T00:00:00"/>
    <s v="Eve"/>
    <s v="East"/>
    <n v="7160.75"/>
    <n v="30"/>
    <s v="Clothing"/>
    <n v="3519.63"/>
    <n v="3774.65"/>
    <s v="New"/>
    <n v="0.2"/>
    <s v="Credit Card"/>
    <x v="1"/>
    <s v="East-Eve"/>
  </r>
  <r>
    <n v="1058"/>
    <d v="2023-04-05T00:00:00"/>
    <s v="Alice"/>
    <s v="North"/>
    <n v="2072.23"/>
    <n v="33"/>
    <s v="Furniture"/>
    <n v="1011.65"/>
    <n v="1084.28"/>
    <s v="Returning"/>
    <n v="7.0000000000000007E-2"/>
    <s v="Bank Transfer"/>
    <x v="1"/>
    <s v="North-Alice"/>
  </r>
  <r>
    <n v="1022"/>
    <d v="2023-06-01T00:00:00"/>
    <s v="David"/>
    <s v="East"/>
    <n v="8913.1299999999992"/>
    <n v="9"/>
    <s v="Electronics"/>
    <n v="2263.65"/>
    <n v="2558.9499999999998"/>
    <s v="New"/>
    <n v="0.03"/>
    <s v="Cash"/>
    <x v="0"/>
    <s v="East-David"/>
  </r>
  <r>
    <n v="1089"/>
    <d v="2023-11-07T00:00:00"/>
    <s v="Bob"/>
    <s v="West"/>
    <n v="2945.36"/>
    <n v="47"/>
    <s v="Furniture"/>
    <n v="4157.62"/>
    <n v="4314.5599999999904"/>
    <s v="New"/>
    <n v="0.17"/>
    <s v="Bank Transfer"/>
    <x v="1"/>
    <s v="West-Bob"/>
  </r>
  <r>
    <n v="1049"/>
    <d v="2023-05-17T00:00:00"/>
    <s v="Alice"/>
    <s v="West"/>
    <n v="3741.08"/>
    <n v="1"/>
    <s v="Furniture"/>
    <n v="3290.89"/>
    <n v="3317.75"/>
    <s v="Returning"/>
    <n v="0.17"/>
    <s v="Bank Transfer"/>
    <x v="0"/>
    <s v="West-Alice"/>
  </r>
  <r>
    <n v="1091"/>
    <d v="2023-09-04T00:00:00"/>
    <s v="Charlie"/>
    <s v="South"/>
    <n v="675.11"/>
    <n v="44"/>
    <s v="Food"/>
    <n v="2085.46"/>
    <n v="2406.58"/>
    <s v="Returning"/>
    <n v="0.06"/>
    <s v="Bank Transfer"/>
    <x v="1"/>
    <s v="South-Charlie"/>
  </r>
  <r>
    <n v="1059"/>
    <d v="2023-08-31T00:00:00"/>
    <s v="Alice"/>
    <s v="North"/>
    <n v="1203.97"/>
    <n v="35"/>
    <s v="Food"/>
    <n v="3333.64"/>
    <n v="3764.52"/>
    <s v="Returning"/>
    <n v="0.02"/>
    <s v="Credit Card"/>
    <x v="0"/>
    <s v="North-Alice"/>
  </r>
  <r>
    <n v="1042"/>
    <d v="2023-01-31T00:00:00"/>
    <s v="Alice"/>
    <s v="North"/>
    <n v="5207.03"/>
    <n v="11"/>
    <s v="Food"/>
    <n v="635.20000000000005"/>
    <n v="814.14"/>
    <s v="Returning"/>
    <n v="0.02"/>
    <s v="Cash"/>
    <x v="0"/>
    <s v="North-Alice"/>
  </r>
  <r>
    <n v="1092"/>
    <d v="2023-02-09T00:00:00"/>
    <s v="David"/>
    <s v="West"/>
    <n v="2749.17"/>
    <n v="34"/>
    <s v="Furniture"/>
    <n v="2037.41"/>
    <n v="2238.65"/>
    <s v="New"/>
    <n v="0.3"/>
    <s v="Credit Card"/>
    <x v="0"/>
    <s v="West-David"/>
  </r>
  <r>
    <n v="1060"/>
    <d v="2023-08-17T00:00:00"/>
    <s v="Bob"/>
    <s v="East"/>
    <n v="8371.25"/>
    <n v="16"/>
    <s v="Clothing"/>
    <n v="3975.99"/>
    <n v="4422.59"/>
    <s v="New"/>
    <n v="0.24"/>
    <s v="Cash"/>
    <x v="0"/>
    <s v="East-Bob"/>
  </r>
  <r>
    <n v="1080"/>
    <d v="2023-02-05T00:00:00"/>
    <s v="Charlie"/>
    <s v="South"/>
    <n v="245.46"/>
    <n v="9"/>
    <s v="Electronics"/>
    <n v="1141.52"/>
    <n v="1550.19"/>
    <s v="New"/>
    <n v="0.28000000000000003"/>
    <s v="Credit Card"/>
    <x v="1"/>
    <s v="South-Charlie"/>
  </r>
  <r>
    <n v="1015"/>
    <d v="2023-08-11T00:00:00"/>
    <s v="Eve"/>
    <s v="East"/>
    <n v="3853.03"/>
    <n v="32"/>
    <s v="Furniture"/>
    <n v="970.51"/>
    <n v="1330.84"/>
    <s v="Returning"/>
    <n v="0.06"/>
    <s v="Cash"/>
    <x v="1"/>
    <s v="East-Eve"/>
  </r>
  <r>
    <n v="1062"/>
    <d v="2023-01-06T00:00:00"/>
    <s v="Eve"/>
    <s v="East"/>
    <n v="3439.72"/>
    <n v="15"/>
    <s v="Clothing"/>
    <n v="4756.55"/>
    <n v="4888.46"/>
    <s v="New"/>
    <n v="0.28999999999999998"/>
    <s v="Credit Card"/>
    <x v="0"/>
    <s v="East-Eve"/>
  </r>
  <r>
    <n v="1062"/>
    <d v="2023-11-18T00:00:00"/>
    <s v="Alice"/>
    <s v="East"/>
    <n v="291.33999999999997"/>
    <n v="12"/>
    <s v="Furniture"/>
    <n v="1088.99"/>
    <n v="1545"/>
    <s v="Returning"/>
    <n v="0.04"/>
    <s v="Bank Transfer"/>
    <x v="1"/>
    <s v="East-Alice"/>
  </r>
  <r>
    <n v="1047"/>
    <d v="2023-08-08T00:00:00"/>
    <s v="David"/>
    <s v="North"/>
    <n v="1331.25"/>
    <n v="33"/>
    <s v="Electronics"/>
    <n v="1341.55"/>
    <n v="1427.21"/>
    <s v="Returning"/>
    <n v="0.15"/>
    <s v="Credit Card"/>
    <x v="0"/>
    <s v="North-David"/>
  </r>
  <r>
    <n v="1062"/>
    <d v="2023-03-16T00:00:00"/>
    <s v="David"/>
    <s v="West"/>
    <n v="4195.0600000000004"/>
    <n v="45"/>
    <s v="Furniture"/>
    <n v="4849.6000000000004"/>
    <n v="5166.72"/>
    <s v="Returning"/>
    <n v="0.25"/>
    <s v="Credit Card"/>
    <x v="0"/>
    <s v="West-David"/>
  </r>
  <r>
    <n v="1051"/>
    <d v="2023-01-04T00:00:00"/>
    <s v="Eve"/>
    <s v="North"/>
    <n v="4979.3599999999997"/>
    <n v="14"/>
    <s v="Electronics"/>
    <n v="3686.81"/>
    <n v="3710.92"/>
    <s v="New"/>
    <n v="0.1"/>
    <s v="Bank Transfer"/>
    <x v="1"/>
    <s v="North-E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1CD70-639D-4D5A-B690-EADFC6FB7C16}" name="PivotTable56" cacheId="9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T38:AU40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2">
    <i>
      <x/>
    </i>
    <i>
      <x v="1"/>
    </i>
  </rowItems>
  <colItems count="1">
    <i/>
  </colItems>
  <dataFields count="1">
    <dataField name="Count of Sales_Channel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D4BF6-5444-487B-856C-DDFCBE67D732}" name="PivotTable38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BB5:BC9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3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Quantity_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1817D-3DAD-4E78-890D-C33DE89C207C}" name="Table1" displayName="Table1" ref="C5:Q20" totalsRowShown="0" headerRowDxfId="36" dataDxfId="34" headerRowBorderDxfId="35" tableBorderDxfId="33" totalsRowBorderDxfId="32">
  <autoFilter ref="C5:Q20" xr:uid="{5601817D-3DAD-4E78-890D-C33DE89C207C}"/>
  <tableColumns count="15">
    <tableColumn id="18" xr3:uid="{E224809B-E430-4389-8632-6A3C464FAF42}" name="SNO" dataDxfId="31"/>
    <tableColumn id="1" xr3:uid="{DDBEDB4C-1E80-441C-9B23-2914E2D90E64}" name="customer_id" dataDxfId="30"/>
    <tableColumn id="2" xr3:uid="{4F7EBB35-56BA-475A-92C9-0B589B971725}" name="credit_score" dataDxfId="29"/>
    <tableColumn id="3" xr3:uid="{C825FDA4-4A4C-44CA-A8F7-6A5A061F6585}" name="country" dataDxfId="28"/>
    <tableColumn id="4" xr3:uid="{4798FE3D-594D-46C0-9B38-EC7B20022EDD}" name="gender" dataDxfId="27"/>
    <tableColumn id="5" xr3:uid="{D5276846-0323-458B-AD5D-B406E5DB584D}" name="age" dataDxfId="26"/>
    <tableColumn id="6" xr3:uid="{EC6F5C35-BA5F-4FC2-B6F8-E3CC6B96CFAE}" name="tenure" dataDxfId="25"/>
    <tableColumn id="7" xr3:uid="{BBC2939E-CD34-4A69-805F-C570315AD0FE}" name="balance" dataDxfId="24"/>
    <tableColumn id="9" xr3:uid="{AA2E5CAC-DE33-4DB4-B900-2D15485E4C76}" name="credit_card" dataDxfId="23"/>
    <tableColumn id="10" xr3:uid="{A6BEBF9E-6B38-4057-BA94-07DD2EC50675}" name="active_member" dataDxfId="22"/>
    <tableColumn id="11" xr3:uid="{EA27C0B4-63A6-4CA7-A621-4A6F4F9F7FFA}" name="estimated_salary" dataDxfId="21"/>
    <tableColumn id="12" xr3:uid="{F18E071D-4120-4597-AA81-13352C39BACB}" name="churn" dataDxfId="20"/>
    <tableColumn id="13" xr3:uid="{2EA560F8-E52F-48E9-978D-5650BB66532E}" name="Date" dataDxfId="19"/>
    <tableColumn id="14" xr3:uid="{EAA2E01B-78F3-47DB-A8ED-31075D6E6895}" name="Time" dataDxfId="18"/>
    <tableColumn id="8" xr3:uid="{D050EC37-45DD-4FD6-8DC4-D7C02DE7A24A}" name="Cos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914D52-3EC8-48B4-9675-A91D55360A88}" name="Table2" displayName="Table2" ref="O23:O38" totalsRowShown="0" headerRowDxfId="17" dataDxfId="15" headerRowBorderDxfId="16" tableBorderDxfId="14" totalsRowBorderDxfId="13">
  <autoFilter ref="O23:O38" xr:uid="{CB914D52-3EC8-48B4-9675-A91D55360A88}"/>
  <tableColumns count="1">
    <tableColumn id="1" xr3:uid="{22E38F28-BC82-4A16-8651-89E73EA5F6F5}" name="estimated_salary" dataDxfId="12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5B15E-7D66-4B5F-A97B-47AEA5823488}" name="Table24" displayName="Table24" ref="P23:P38" totalsRowShown="0" headerRowDxfId="11" dataDxfId="9" headerRowBorderDxfId="10" tableBorderDxfId="8" totalsRowBorderDxfId="7">
  <autoFilter ref="P23:P38" xr:uid="{DFE5B15E-7D66-4B5F-A97B-47AEA5823488}"/>
  <tableColumns count="1">
    <tableColumn id="1" xr3:uid="{397B3BE7-56AE-4FC0-AE2B-D30184EB617C}" name="estimated_salary" dataDxfId="6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328F-6DED-42F6-9393-1990A1A4D8C7}">
  <dimension ref="C3:BC47"/>
  <sheetViews>
    <sheetView tabSelected="1" topLeftCell="AC1" zoomScale="85" zoomScaleNormal="85" workbookViewId="0">
      <selection activeCell="AS41" sqref="AS41"/>
    </sheetView>
  </sheetViews>
  <sheetFormatPr defaultRowHeight="15" x14ac:dyDescent="0.25"/>
  <cols>
    <col min="4" max="4" width="16.140625" customWidth="1"/>
    <col min="5" max="5" width="14.140625" customWidth="1"/>
    <col min="6" max="6" width="10.28515625" customWidth="1"/>
    <col min="10" max="10" width="11.28515625" customWidth="1"/>
    <col min="11" max="11" width="14.5703125" customWidth="1"/>
    <col min="12" max="12" width="18.7109375" customWidth="1"/>
    <col min="13" max="13" width="20" customWidth="1"/>
    <col min="15" max="15" width="21" customWidth="1"/>
    <col min="16" max="16" width="19" customWidth="1"/>
    <col min="17" max="17" width="10.7109375" bestFit="1" customWidth="1"/>
    <col min="20" max="20" width="12.42578125" customWidth="1"/>
    <col min="21" max="21" width="16.140625" customWidth="1"/>
    <col min="22" max="22" width="14.85546875" customWidth="1"/>
    <col min="24" max="24" width="13.42578125" customWidth="1"/>
    <col min="25" max="25" width="13.7109375" customWidth="1"/>
    <col min="26" max="26" width="15.28515625" customWidth="1"/>
    <col min="27" max="27" width="13.42578125" customWidth="1"/>
    <col min="28" max="28" width="10.7109375" customWidth="1"/>
    <col min="31" max="31" width="11.5703125" customWidth="1"/>
    <col min="32" max="32" width="13.42578125" customWidth="1"/>
    <col min="33" max="33" width="10.7109375" customWidth="1"/>
    <col min="35" max="36" width="13.42578125" customWidth="1"/>
    <col min="37" max="37" width="17.85546875" customWidth="1"/>
    <col min="38" max="38" width="10.140625" customWidth="1"/>
    <col min="39" max="39" width="10.5703125" customWidth="1"/>
    <col min="40" max="40" width="16" customWidth="1"/>
    <col min="42" max="42" width="16.140625" customWidth="1"/>
    <col min="43" max="43" width="13.140625" customWidth="1"/>
    <col min="44" max="44" width="20.85546875" customWidth="1"/>
    <col min="47" max="47" width="21.140625" customWidth="1"/>
    <col min="48" max="48" width="12.85546875" customWidth="1"/>
    <col min="55" max="55" width="19.7109375" customWidth="1"/>
  </cols>
  <sheetData>
    <row r="3" spans="3:55" ht="18.75" x14ac:dyDescent="0.3">
      <c r="K3" s="20" t="s">
        <v>48</v>
      </c>
      <c r="X3" s="20" t="s">
        <v>47</v>
      </c>
    </row>
    <row r="5" spans="3:55" x14ac:dyDescent="0.25">
      <c r="C5" s="2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3" t="s">
        <v>18</v>
      </c>
      <c r="Q5" s="3" t="s">
        <v>50</v>
      </c>
      <c r="T5" s="26" t="s">
        <v>25</v>
      </c>
      <c r="U5" s="26" t="s">
        <v>26</v>
      </c>
      <c r="V5" s="26" t="s">
        <v>27</v>
      </c>
      <c r="W5" s="26" t="s">
        <v>28</v>
      </c>
      <c r="X5" s="26" t="s">
        <v>29</v>
      </c>
      <c r="Y5" s="26" t="s">
        <v>30</v>
      </c>
      <c r="Z5" s="26" t="s">
        <v>31</v>
      </c>
      <c r="AA5" s="26" t="s">
        <v>32</v>
      </c>
      <c r="AB5" s="26" t="s">
        <v>33</v>
      </c>
      <c r="AE5" s="26" t="s">
        <v>25</v>
      </c>
      <c r="AF5" s="26" t="s">
        <v>26</v>
      </c>
      <c r="AG5" s="26" t="s">
        <v>27</v>
      </c>
      <c r="AH5" s="26" t="s">
        <v>28</v>
      </c>
      <c r="AI5" s="26" t="s">
        <v>29</v>
      </c>
      <c r="AJ5" s="26" t="s">
        <v>30</v>
      </c>
      <c r="AK5" s="26" t="s">
        <v>31</v>
      </c>
      <c r="AL5" s="26" t="s">
        <v>32</v>
      </c>
      <c r="AM5" s="26" t="s">
        <v>33</v>
      </c>
      <c r="AN5" s="26" t="s">
        <v>52</v>
      </c>
      <c r="AO5" s="26" t="s">
        <v>53</v>
      </c>
      <c r="AP5" s="26" t="s">
        <v>54</v>
      </c>
      <c r="AQ5" s="26" t="s">
        <v>55</v>
      </c>
      <c r="AR5" s="26" t="s">
        <v>56</v>
      </c>
      <c r="BB5" s="31" t="s">
        <v>31</v>
      </c>
      <c r="BC5" t="s">
        <v>83</v>
      </c>
    </row>
    <row r="6" spans="3:55" ht="15.75" customHeight="1" x14ac:dyDescent="0.25">
      <c r="C6" s="11">
        <v>1</v>
      </c>
      <c r="D6" s="12">
        <v>15634602</v>
      </c>
      <c r="E6" s="12">
        <v>619</v>
      </c>
      <c r="F6" s="12" t="s">
        <v>0</v>
      </c>
      <c r="G6" s="12" t="s">
        <v>1</v>
      </c>
      <c r="H6" s="12">
        <v>42</v>
      </c>
      <c r="I6" s="12">
        <v>2</v>
      </c>
      <c r="J6" s="13">
        <v>1000</v>
      </c>
      <c r="K6" s="12">
        <v>1</v>
      </c>
      <c r="L6" s="12">
        <v>1</v>
      </c>
      <c r="M6" s="1">
        <v>101348.88</v>
      </c>
      <c r="N6" s="14">
        <v>1</v>
      </c>
      <c r="O6" s="15">
        <v>46177</v>
      </c>
      <c r="P6" s="16">
        <v>0.44791666666666669</v>
      </c>
      <c r="Q6" s="30">
        <v>45753</v>
      </c>
      <c r="T6" s="19">
        <v>1052</v>
      </c>
      <c r="U6" s="25">
        <v>44960</v>
      </c>
      <c r="V6" s="19" t="s">
        <v>34</v>
      </c>
      <c r="W6" s="19" t="s">
        <v>35</v>
      </c>
      <c r="X6" s="19">
        <v>5053.97</v>
      </c>
      <c r="Y6" s="19">
        <v>18</v>
      </c>
      <c r="Z6" s="19" t="s">
        <v>36</v>
      </c>
      <c r="AA6" s="19">
        <v>152.75</v>
      </c>
      <c r="AB6" s="19">
        <v>267.22000000000003</v>
      </c>
      <c r="AE6" s="19">
        <v>1052</v>
      </c>
      <c r="AF6" s="25">
        <v>44960</v>
      </c>
      <c r="AG6" s="19" t="s">
        <v>34</v>
      </c>
      <c r="AH6" s="19" t="s">
        <v>35</v>
      </c>
      <c r="AI6" s="19">
        <v>5053.97</v>
      </c>
      <c r="AJ6" s="19">
        <v>18</v>
      </c>
      <c r="AK6" s="19" t="s">
        <v>36</v>
      </c>
      <c r="AL6" s="19">
        <v>152.75</v>
      </c>
      <c r="AM6" s="19">
        <v>267.22000000000003</v>
      </c>
      <c r="AN6" s="19" t="s">
        <v>57</v>
      </c>
      <c r="AO6" s="19">
        <v>0.09</v>
      </c>
      <c r="AP6" s="19" t="s">
        <v>58</v>
      </c>
      <c r="AQ6" s="19" t="s">
        <v>59</v>
      </c>
      <c r="AR6" s="19" t="s">
        <v>60</v>
      </c>
      <c r="BB6" t="s">
        <v>41</v>
      </c>
      <c r="BC6" s="32">
        <v>196</v>
      </c>
    </row>
    <row r="7" spans="3:55" x14ac:dyDescent="0.25">
      <c r="C7" s="11">
        <v>2</v>
      </c>
      <c r="D7" s="12">
        <v>15647311</v>
      </c>
      <c r="E7" s="12">
        <v>608</v>
      </c>
      <c r="F7" s="12" t="s">
        <v>2</v>
      </c>
      <c r="G7" s="12" t="s">
        <v>1</v>
      </c>
      <c r="H7" s="12">
        <v>41</v>
      </c>
      <c r="I7" s="12">
        <v>1</v>
      </c>
      <c r="J7" s="13">
        <v>20000</v>
      </c>
      <c r="K7" s="12">
        <v>0</v>
      </c>
      <c r="L7" s="12">
        <v>1</v>
      </c>
      <c r="M7" s="1">
        <v>112542.58</v>
      </c>
      <c r="N7" s="14">
        <v>0</v>
      </c>
      <c r="O7" s="17">
        <v>46178</v>
      </c>
      <c r="P7" s="16">
        <v>0.48958333333333331</v>
      </c>
      <c r="Q7" s="30">
        <v>97356</v>
      </c>
      <c r="T7" s="19">
        <v>1093</v>
      </c>
      <c r="U7" s="25">
        <v>45037</v>
      </c>
      <c r="V7" s="19" t="s">
        <v>34</v>
      </c>
      <c r="W7" s="19" t="s">
        <v>37</v>
      </c>
      <c r="X7" s="19">
        <v>4384.0200000000004</v>
      </c>
      <c r="Y7" s="19">
        <v>17</v>
      </c>
      <c r="Z7" s="19" t="s">
        <v>36</v>
      </c>
      <c r="AA7" s="19">
        <v>3816.39</v>
      </c>
      <c r="AB7" s="19">
        <v>4209.4399999999996</v>
      </c>
      <c r="AE7" s="19">
        <v>1093</v>
      </c>
      <c r="AF7" s="25">
        <v>45037</v>
      </c>
      <c r="AG7" s="19" t="s">
        <v>34</v>
      </c>
      <c r="AH7" s="19" t="s">
        <v>37</v>
      </c>
      <c r="AI7" s="19">
        <v>4384.0200000000004</v>
      </c>
      <c r="AJ7" s="19">
        <v>17</v>
      </c>
      <c r="AK7" s="19" t="s">
        <v>36</v>
      </c>
      <c r="AL7" s="19">
        <v>3816.39</v>
      </c>
      <c r="AM7" s="19">
        <v>4209.4399999999996</v>
      </c>
      <c r="AN7" s="19" t="s">
        <v>57</v>
      </c>
      <c r="AO7" s="19">
        <v>0.11</v>
      </c>
      <c r="AP7" s="19" t="s">
        <v>58</v>
      </c>
      <c r="AQ7" s="19" t="s">
        <v>61</v>
      </c>
      <c r="AR7" s="19" t="s">
        <v>62</v>
      </c>
      <c r="BB7" t="s">
        <v>44</v>
      </c>
      <c r="BC7" s="32">
        <v>137</v>
      </c>
    </row>
    <row r="8" spans="3:55" x14ac:dyDescent="0.25">
      <c r="C8" s="11">
        <v>3</v>
      </c>
      <c r="D8" s="12">
        <v>15619304</v>
      </c>
      <c r="E8" s="12">
        <v>502</v>
      </c>
      <c r="F8" s="12" t="s">
        <v>0</v>
      </c>
      <c r="G8" s="12" t="s">
        <v>1</v>
      </c>
      <c r="H8" s="12">
        <v>24</v>
      </c>
      <c r="I8" s="12">
        <v>8</v>
      </c>
      <c r="J8" s="13">
        <v>30000</v>
      </c>
      <c r="K8" s="12">
        <v>1</v>
      </c>
      <c r="L8" s="12">
        <v>0</v>
      </c>
      <c r="M8" s="1">
        <v>113931.57</v>
      </c>
      <c r="N8" s="14">
        <v>1</v>
      </c>
      <c r="O8" s="17">
        <v>46179</v>
      </c>
      <c r="P8" s="16">
        <v>0.49652777777777779</v>
      </c>
      <c r="Q8" s="30">
        <v>4564</v>
      </c>
      <c r="T8" s="19">
        <v>1015</v>
      </c>
      <c r="U8" s="25">
        <v>45190</v>
      </c>
      <c r="V8" s="19" t="s">
        <v>38</v>
      </c>
      <c r="W8" s="19" t="s">
        <v>39</v>
      </c>
      <c r="X8" s="19">
        <v>4631.2299999999996</v>
      </c>
      <c r="Y8" s="19">
        <v>30</v>
      </c>
      <c r="Z8" s="19" t="s">
        <v>40</v>
      </c>
      <c r="AA8" s="19">
        <v>261.56</v>
      </c>
      <c r="AB8" s="19">
        <v>371.4</v>
      </c>
      <c r="AE8" s="19">
        <v>1015</v>
      </c>
      <c r="AF8" s="25">
        <v>45190</v>
      </c>
      <c r="AG8" s="19" t="s">
        <v>38</v>
      </c>
      <c r="AH8" s="19" t="s">
        <v>39</v>
      </c>
      <c r="AI8" s="19">
        <v>4631.2299999999996</v>
      </c>
      <c r="AJ8" s="19">
        <v>30</v>
      </c>
      <c r="AK8" s="19" t="s">
        <v>40</v>
      </c>
      <c r="AL8" s="19">
        <v>261.56</v>
      </c>
      <c r="AM8" s="19">
        <v>371.4</v>
      </c>
      <c r="AN8" s="19" t="s">
        <v>57</v>
      </c>
      <c r="AO8" s="19">
        <v>0.2</v>
      </c>
      <c r="AP8" s="19" t="s">
        <v>63</v>
      </c>
      <c r="AQ8" s="19" t="s">
        <v>61</v>
      </c>
      <c r="AR8" s="19" t="s">
        <v>64</v>
      </c>
      <c r="BB8" t="s">
        <v>40</v>
      </c>
      <c r="BC8" s="32">
        <v>237</v>
      </c>
    </row>
    <row r="9" spans="3:55" x14ac:dyDescent="0.25">
      <c r="C9" s="11">
        <v>4</v>
      </c>
      <c r="D9" s="12">
        <v>15701354</v>
      </c>
      <c r="E9" s="12">
        <v>699</v>
      </c>
      <c r="F9" s="12" t="s">
        <v>0</v>
      </c>
      <c r="G9" s="12" t="s">
        <v>1</v>
      </c>
      <c r="H9" s="12">
        <v>39</v>
      </c>
      <c r="I9" s="12">
        <v>1</v>
      </c>
      <c r="J9" s="13">
        <v>40000</v>
      </c>
      <c r="K9" s="12">
        <v>0</v>
      </c>
      <c r="L9" s="12">
        <v>0</v>
      </c>
      <c r="M9" s="1">
        <v>93826.63</v>
      </c>
      <c r="N9" s="14">
        <v>0</v>
      </c>
      <c r="O9" s="17">
        <v>46180</v>
      </c>
      <c r="P9" s="16">
        <v>0.51041666666666663</v>
      </c>
      <c r="Q9" s="30">
        <v>7736</v>
      </c>
      <c r="T9" s="19">
        <v>1072</v>
      </c>
      <c r="U9" s="25">
        <v>45162</v>
      </c>
      <c r="V9" s="19" t="s">
        <v>34</v>
      </c>
      <c r="W9" s="19" t="s">
        <v>39</v>
      </c>
      <c r="X9" s="19">
        <v>2167.94</v>
      </c>
      <c r="Y9" s="19">
        <v>39</v>
      </c>
      <c r="Z9" s="19" t="s">
        <v>41</v>
      </c>
      <c r="AA9" s="19">
        <v>4330.03</v>
      </c>
      <c r="AB9" s="19">
        <v>4467.75</v>
      </c>
      <c r="AE9" s="19">
        <v>1072</v>
      </c>
      <c r="AF9" s="25">
        <v>45162</v>
      </c>
      <c r="AG9" s="19" t="s">
        <v>34</v>
      </c>
      <c r="AH9" s="19" t="s">
        <v>39</v>
      </c>
      <c r="AI9" s="19">
        <v>2167.94</v>
      </c>
      <c r="AJ9" s="19">
        <v>39</v>
      </c>
      <c r="AK9" s="19" t="s">
        <v>41</v>
      </c>
      <c r="AL9" s="19">
        <v>4330.03</v>
      </c>
      <c r="AM9" s="19">
        <v>4467.75</v>
      </c>
      <c r="AN9" s="19" t="s">
        <v>65</v>
      </c>
      <c r="AO9" s="19">
        <v>0.02</v>
      </c>
      <c r="AP9" s="19" t="s">
        <v>66</v>
      </c>
      <c r="AQ9" s="19" t="s">
        <v>61</v>
      </c>
      <c r="AR9" s="19" t="s">
        <v>67</v>
      </c>
      <c r="BB9" t="s">
        <v>36</v>
      </c>
      <c r="BC9" s="32">
        <v>506</v>
      </c>
    </row>
    <row r="10" spans="3:55" x14ac:dyDescent="0.25">
      <c r="C10" s="11">
        <v>5</v>
      </c>
      <c r="D10" s="12">
        <v>15737888</v>
      </c>
      <c r="E10" s="12">
        <v>850</v>
      </c>
      <c r="F10" s="12" t="s">
        <v>2</v>
      </c>
      <c r="G10" s="12" t="s">
        <v>1</v>
      </c>
      <c r="H10" s="12">
        <v>43</v>
      </c>
      <c r="I10" s="12">
        <v>2</v>
      </c>
      <c r="J10" s="13">
        <v>50000</v>
      </c>
      <c r="K10" s="12">
        <v>1</v>
      </c>
      <c r="L10" s="12">
        <v>1</v>
      </c>
      <c r="M10" s="1">
        <v>79084.100000000006</v>
      </c>
      <c r="N10" s="14">
        <v>0</v>
      </c>
      <c r="O10" s="17">
        <v>46181</v>
      </c>
      <c r="P10" s="16">
        <v>6.25E-2</v>
      </c>
      <c r="Q10" s="30">
        <v>8365</v>
      </c>
      <c r="T10" s="19">
        <v>1061</v>
      </c>
      <c r="U10" s="25">
        <v>45009</v>
      </c>
      <c r="V10" s="19" t="s">
        <v>42</v>
      </c>
      <c r="W10" s="19" t="s">
        <v>43</v>
      </c>
      <c r="X10" s="19">
        <v>3750.2</v>
      </c>
      <c r="Y10" s="19">
        <v>13</v>
      </c>
      <c r="Z10" s="19" t="s">
        <v>44</v>
      </c>
      <c r="AA10" s="19">
        <v>637.37</v>
      </c>
      <c r="AB10" s="19">
        <v>692.71</v>
      </c>
      <c r="AE10" s="19">
        <v>1061</v>
      </c>
      <c r="AF10" s="25">
        <v>45009</v>
      </c>
      <c r="AG10" s="19" t="s">
        <v>42</v>
      </c>
      <c r="AH10" s="19" t="s">
        <v>43</v>
      </c>
      <c r="AI10" s="19">
        <v>3750.2</v>
      </c>
      <c r="AJ10" s="19">
        <v>13</v>
      </c>
      <c r="AK10" s="19" t="s">
        <v>44</v>
      </c>
      <c r="AL10" s="19">
        <v>637.37</v>
      </c>
      <c r="AM10" s="19">
        <v>692.71</v>
      </c>
      <c r="AN10" s="19" t="s">
        <v>65</v>
      </c>
      <c r="AO10" s="19">
        <v>0.08</v>
      </c>
      <c r="AP10" s="19" t="s">
        <v>66</v>
      </c>
      <c r="AQ10" s="19" t="s">
        <v>59</v>
      </c>
      <c r="AR10" s="19" t="s">
        <v>68</v>
      </c>
    </row>
    <row r="11" spans="3:55" x14ac:dyDescent="0.25">
      <c r="C11" s="11">
        <v>6</v>
      </c>
      <c r="D11" s="12">
        <v>15574012</v>
      </c>
      <c r="E11" s="12">
        <v>645</v>
      </c>
      <c r="F11" s="12" t="s">
        <v>2</v>
      </c>
      <c r="G11" s="12" t="s">
        <v>3</v>
      </c>
      <c r="H11" s="12">
        <v>44</v>
      </c>
      <c r="I11" s="12">
        <v>8</v>
      </c>
      <c r="J11" s="13">
        <v>40000</v>
      </c>
      <c r="K11" s="12">
        <v>1</v>
      </c>
      <c r="L11" s="12">
        <v>0</v>
      </c>
      <c r="M11" s="1">
        <v>149756.71</v>
      </c>
      <c r="N11" s="14">
        <v>1</v>
      </c>
      <c r="O11" s="17">
        <v>46182</v>
      </c>
      <c r="P11" s="16">
        <v>7.6388888888888895E-2</v>
      </c>
      <c r="Q11" s="30">
        <v>893</v>
      </c>
      <c r="T11" s="19">
        <v>1021</v>
      </c>
      <c r="U11" s="25">
        <v>44968</v>
      </c>
      <c r="V11" s="19" t="s">
        <v>42</v>
      </c>
      <c r="W11" s="19" t="s">
        <v>37</v>
      </c>
      <c r="X11" s="19">
        <v>3761.15</v>
      </c>
      <c r="Y11" s="19">
        <v>32</v>
      </c>
      <c r="Z11" s="19" t="s">
        <v>40</v>
      </c>
      <c r="AA11" s="19">
        <v>900.79</v>
      </c>
      <c r="AB11" s="19">
        <v>1106.51</v>
      </c>
      <c r="AE11" s="19">
        <v>1021</v>
      </c>
      <c r="AF11" s="25">
        <v>44968</v>
      </c>
      <c r="AG11" s="19" t="s">
        <v>42</v>
      </c>
      <c r="AH11" s="19" t="s">
        <v>37</v>
      </c>
      <c r="AI11" s="19">
        <v>3761.15</v>
      </c>
      <c r="AJ11" s="19">
        <v>32</v>
      </c>
      <c r="AK11" s="19" t="s">
        <v>40</v>
      </c>
      <c r="AL11" s="19">
        <v>900.79</v>
      </c>
      <c r="AM11" s="19">
        <v>1106.51</v>
      </c>
      <c r="AN11" s="19" t="s">
        <v>65</v>
      </c>
      <c r="AO11" s="19">
        <v>0.21</v>
      </c>
      <c r="AP11" s="19" t="s">
        <v>58</v>
      </c>
      <c r="AQ11" s="19" t="s">
        <v>59</v>
      </c>
      <c r="AR11" s="19" t="s">
        <v>69</v>
      </c>
    </row>
    <row r="12" spans="3:55" x14ac:dyDescent="0.25">
      <c r="C12" s="11">
        <v>7</v>
      </c>
      <c r="D12" s="12">
        <v>15592531</v>
      </c>
      <c r="E12" s="12">
        <v>822</v>
      </c>
      <c r="F12" s="12" t="s">
        <v>0</v>
      </c>
      <c r="G12" s="12" t="s">
        <v>3</v>
      </c>
      <c r="H12" s="12">
        <v>50</v>
      </c>
      <c r="I12" s="12">
        <v>7</v>
      </c>
      <c r="J12" s="13">
        <v>60000</v>
      </c>
      <c r="K12" s="12">
        <v>1</v>
      </c>
      <c r="L12" s="12">
        <v>1</v>
      </c>
      <c r="M12" s="1">
        <v>10062.799999999999</v>
      </c>
      <c r="N12" s="14">
        <v>0</v>
      </c>
      <c r="O12" s="17">
        <v>46183</v>
      </c>
      <c r="P12" s="16">
        <v>9.2361111111111116E-2</v>
      </c>
      <c r="Q12" s="30">
        <v>9034</v>
      </c>
      <c r="T12" s="19">
        <v>1083</v>
      </c>
      <c r="U12" s="25">
        <v>45027</v>
      </c>
      <c r="V12" s="19" t="s">
        <v>34</v>
      </c>
      <c r="W12" s="19" t="s">
        <v>37</v>
      </c>
      <c r="X12" s="19">
        <v>618.30999999999995</v>
      </c>
      <c r="Y12" s="19">
        <v>29</v>
      </c>
      <c r="Z12" s="19" t="s">
        <v>36</v>
      </c>
      <c r="AA12" s="19">
        <v>2408.81</v>
      </c>
      <c r="AB12" s="19">
        <v>2624.09</v>
      </c>
      <c r="AE12" s="19">
        <v>1083</v>
      </c>
      <c r="AF12" s="25">
        <v>45027</v>
      </c>
      <c r="AG12" s="19" t="s">
        <v>34</v>
      </c>
      <c r="AH12" s="19" t="s">
        <v>37</v>
      </c>
      <c r="AI12" s="19">
        <v>618.30999999999995</v>
      </c>
      <c r="AJ12" s="19">
        <v>29</v>
      </c>
      <c r="AK12" s="19" t="s">
        <v>36</v>
      </c>
      <c r="AL12" s="19">
        <v>2408.81</v>
      </c>
      <c r="AM12" s="19">
        <v>2624.09</v>
      </c>
      <c r="AN12" s="19" t="s">
        <v>57</v>
      </c>
      <c r="AO12" s="19">
        <v>0.14000000000000001</v>
      </c>
      <c r="AP12" s="19" t="s">
        <v>58</v>
      </c>
      <c r="AQ12" s="19" t="s">
        <v>59</v>
      </c>
      <c r="AR12" s="19" t="s">
        <v>62</v>
      </c>
    </row>
    <row r="13" spans="3:55" x14ac:dyDescent="0.25">
      <c r="C13" s="11">
        <v>8</v>
      </c>
      <c r="D13" s="12">
        <v>15656148</v>
      </c>
      <c r="E13" s="12">
        <v>376</v>
      </c>
      <c r="F13" s="12" t="s">
        <v>4</v>
      </c>
      <c r="G13" s="12" t="s">
        <v>1</v>
      </c>
      <c r="H13" s="12">
        <v>29</v>
      </c>
      <c r="I13" s="12">
        <v>4</v>
      </c>
      <c r="J13" s="13">
        <v>65000</v>
      </c>
      <c r="K13" s="12">
        <v>1</v>
      </c>
      <c r="L13" s="12">
        <v>0</v>
      </c>
      <c r="M13" s="1">
        <v>119346.88</v>
      </c>
      <c r="N13" s="14">
        <v>1</v>
      </c>
      <c r="O13" s="17">
        <v>46184</v>
      </c>
      <c r="P13" s="16">
        <v>0.11805555555555555</v>
      </c>
      <c r="Q13" s="30">
        <v>3426</v>
      </c>
      <c r="T13" s="19">
        <v>1087</v>
      </c>
      <c r="U13" s="25">
        <v>44932</v>
      </c>
      <c r="V13" s="19" t="s">
        <v>45</v>
      </c>
      <c r="W13" s="19" t="s">
        <v>39</v>
      </c>
      <c r="X13" s="19">
        <v>7698.92</v>
      </c>
      <c r="Y13" s="19">
        <v>46</v>
      </c>
      <c r="Z13" s="19" t="s">
        <v>36</v>
      </c>
      <c r="AA13" s="19">
        <v>3702.51</v>
      </c>
      <c r="AB13" s="19">
        <v>3964.65</v>
      </c>
      <c r="AE13" s="19">
        <v>1087</v>
      </c>
      <c r="AF13" s="25">
        <v>44932</v>
      </c>
      <c r="AG13" s="19" t="s">
        <v>45</v>
      </c>
      <c r="AH13" s="19" t="s">
        <v>39</v>
      </c>
      <c r="AI13" s="19">
        <v>7698.92</v>
      </c>
      <c r="AJ13" s="19">
        <v>46</v>
      </c>
      <c r="AK13" s="19" t="s">
        <v>36</v>
      </c>
      <c r="AL13" s="19">
        <v>3702.51</v>
      </c>
      <c r="AM13" s="19">
        <v>3964.65</v>
      </c>
      <c r="AN13" s="19" t="s">
        <v>65</v>
      </c>
      <c r="AO13" s="19">
        <v>0.12</v>
      </c>
      <c r="AP13" s="19" t="s">
        <v>63</v>
      </c>
      <c r="AQ13" s="19" t="s">
        <v>59</v>
      </c>
      <c r="AR13" s="19" t="s">
        <v>70</v>
      </c>
    </row>
    <row r="14" spans="3:55" x14ac:dyDescent="0.25">
      <c r="C14" s="11">
        <v>9</v>
      </c>
      <c r="D14" s="12">
        <v>15792365</v>
      </c>
      <c r="E14" s="12">
        <v>501</v>
      </c>
      <c r="F14" s="12" t="s">
        <v>0</v>
      </c>
      <c r="G14" s="12" t="s">
        <v>3</v>
      </c>
      <c r="H14" s="12">
        <v>44</v>
      </c>
      <c r="I14" s="12">
        <v>4</v>
      </c>
      <c r="J14" s="13">
        <v>70000</v>
      </c>
      <c r="K14" s="12">
        <v>0</v>
      </c>
      <c r="L14" s="12">
        <v>1</v>
      </c>
      <c r="M14" s="1">
        <v>74940.5</v>
      </c>
      <c r="N14" s="14">
        <v>0</v>
      </c>
      <c r="O14" s="17">
        <v>46185</v>
      </c>
      <c r="P14" s="16">
        <v>0.13194444444444445</v>
      </c>
      <c r="Q14" s="30">
        <v>28956</v>
      </c>
      <c r="T14" s="19">
        <v>1075</v>
      </c>
      <c r="U14" s="25">
        <v>45106</v>
      </c>
      <c r="V14" s="19" t="s">
        <v>38</v>
      </c>
      <c r="W14" s="19" t="s">
        <v>39</v>
      </c>
      <c r="X14" s="19">
        <v>4223.3900000000003</v>
      </c>
      <c r="Y14" s="19">
        <v>30</v>
      </c>
      <c r="Z14" s="19" t="s">
        <v>36</v>
      </c>
      <c r="AA14" s="19">
        <v>738.06</v>
      </c>
      <c r="AB14" s="19">
        <v>1095.44999999999</v>
      </c>
      <c r="AE14" s="19">
        <v>1075</v>
      </c>
      <c r="AF14" s="25">
        <v>45106</v>
      </c>
      <c r="AG14" s="19" t="s">
        <v>38</v>
      </c>
      <c r="AH14" s="19" t="s">
        <v>39</v>
      </c>
      <c r="AI14" s="19">
        <v>4223.3900000000003</v>
      </c>
      <c r="AJ14" s="19">
        <v>30</v>
      </c>
      <c r="AK14" s="19" t="s">
        <v>36</v>
      </c>
      <c r="AL14" s="19">
        <v>738.06</v>
      </c>
      <c r="AM14" s="19">
        <v>1095.44999999999</v>
      </c>
      <c r="AN14" s="19" t="s">
        <v>65</v>
      </c>
      <c r="AO14" s="19">
        <v>0.05</v>
      </c>
      <c r="AP14" s="19" t="s">
        <v>63</v>
      </c>
      <c r="AQ14" s="19" t="s">
        <v>59</v>
      </c>
      <c r="AR14" s="19" t="s">
        <v>64</v>
      </c>
    </row>
    <row r="15" spans="3:55" x14ac:dyDescent="0.25">
      <c r="C15" s="11">
        <v>10</v>
      </c>
      <c r="D15" s="12">
        <v>15592389</v>
      </c>
      <c r="E15" s="12">
        <v>684</v>
      </c>
      <c r="F15" s="12" t="s">
        <v>0</v>
      </c>
      <c r="G15" s="12" t="s">
        <v>3</v>
      </c>
      <c r="H15" s="12">
        <v>27</v>
      </c>
      <c r="I15" s="12">
        <v>2</v>
      </c>
      <c r="J15" s="13">
        <v>80000</v>
      </c>
      <c r="K15" s="12">
        <v>1</v>
      </c>
      <c r="L15" s="12">
        <v>1</v>
      </c>
      <c r="M15" s="1">
        <v>71725.73</v>
      </c>
      <c r="N15" s="14">
        <v>0</v>
      </c>
      <c r="O15" s="17">
        <v>46186</v>
      </c>
      <c r="P15" s="16">
        <v>0.14583333333333334</v>
      </c>
      <c r="Q15" s="30">
        <v>34876</v>
      </c>
      <c r="T15" s="19">
        <v>1075</v>
      </c>
      <c r="U15" s="25">
        <v>45208</v>
      </c>
      <c r="V15" s="19" t="s">
        <v>42</v>
      </c>
      <c r="W15" s="19" t="s">
        <v>37</v>
      </c>
      <c r="X15" s="19">
        <v>8239.58</v>
      </c>
      <c r="Y15" s="19">
        <v>18</v>
      </c>
      <c r="Z15" s="19" t="s">
        <v>41</v>
      </c>
      <c r="AA15" s="19">
        <v>2228.35</v>
      </c>
      <c r="AB15" s="19">
        <v>2682.34</v>
      </c>
      <c r="AE15" s="19">
        <v>1075</v>
      </c>
      <c r="AF15" s="25">
        <v>45208</v>
      </c>
      <c r="AG15" s="19" t="s">
        <v>42</v>
      </c>
      <c r="AH15" s="19" t="s">
        <v>37</v>
      </c>
      <c r="AI15" s="19">
        <v>8239.58</v>
      </c>
      <c r="AJ15" s="19">
        <v>18</v>
      </c>
      <c r="AK15" s="19" t="s">
        <v>41</v>
      </c>
      <c r="AL15" s="19">
        <v>2228.35</v>
      </c>
      <c r="AM15" s="19">
        <v>2682.34</v>
      </c>
      <c r="AN15" s="19" t="s">
        <v>65</v>
      </c>
      <c r="AO15" s="19">
        <v>0.13</v>
      </c>
      <c r="AP15" s="19" t="s">
        <v>63</v>
      </c>
      <c r="AQ15" s="19" t="s">
        <v>59</v>
      </c>
      <c r="AR15" s="19" t="s">
        <v>69</v>
      </c>
    </row>
    <row r="16" spans="3:55" x14ac:dyDescent="0.25">
      <c r="C16" s="11">
        <v>11</v>
      </c>
      <c r="D16" s="12">
        <v>15767821</v>
      </c>
      <c r="E16" s="12">
        <v>528</v>
      </c>
      <c r="F16" s="12" t="s">
        <v>0</v>
      </c>
      <c r="G16" s="12" t="s">
        <v>3</v>
      </c>
      <c r="H16" s="12">
        <v>31</v>
      </c>
      <c r="I16" s="12">
        <v>6</v>
      </c>
      <c r="J16" s="13">
        <v>85000</v>
      </c>
      <c r="K16" s="12">
        <v>0</v>
      </c>
      <c r="L16" s="12">
        <v>0</v>
      </c>
      <c r="M16" s="1">
        <v>80181.119999999995</v>
      </c>
      <c r="N16" s="14">
        <v>0</v>
      </c>
      <c r="O16" s="17">
        <v>46187</v>
      </c>
      <c r="P16" s="16">
        <v>0.15972222222222221</v>
      </c>
      <c r="Q16" s="30">
        <v>59876</v>
      </c>
      <c r="T16" s="19">
        <v>1088</v>
      </c>
      <c r="U16" s="25">
        <v>45246</v>
      </c>
      <c r="V16" s="19" t="s">
        <v>45</v>
      </c>
      <c r="W16" s="19" t="s">
        <v>35</v>
      </c>
      <c r="X16" s="19">
        <v>8518.4500000000007</v>
      </c>
      <c r="Y16" s="19">
        <v>13</v>
      </c>
      <c r="Z16" s="19" t="s">
        <v>36</v>
      </c>
      <c r="AA16" s="19">
        <v>2440.11</v>
      </c>
      <c r="AB16" s="19">
        <v>2517.6</v>
      </c>
      <c r="AE16" s="19">
        <v>1088</v>
      </c>
      <c r="AF16" s="25">
        <v>45246</v>
      </c>
      <c r="AG16" s="19" t="s">
        <v>45</v>
      </c>
      <c r="AH16" s="19" t="s">
        <v>35</v>
      </c>
      <c r="AI16" s="19">
        <v>8518.4500000000007</v>
      </c>
      <c r="AJ16" s="19">
        <v>13</v>
      </c>
      <c r="AK16" s="19" t="s">
        <v>36</v>
      </c>
      <c r="AL16" s="19">
        <v>2440.11</v>
      </c>
      <c r="AM16" s="19">
        <v>2517.6</v>
      </c>
      <c r="AN16" s="19" t="s">
        <v>65</v>
      </c>
      <c r="AO16" s="19">
        <v>0.23</v>
      </c>
      <c r="AP16" s="19" t="s">
        <v>63</v>
      </c>
      <c r="AQ16" s="19" t="s">
        <v>61</v>
      </c>
      <c r="AR16" s="19" t="s">
        <v>71</v>
      </c>
    </row>
    <row r="17" spans="3:44" x14ac:dyDescent="0.25">
      <c r="C17" s="11">
        <v>12</v>
      </c>
      <c r="D17" s="12">
        <v>15737173</v>
      </c>
      <c r="E17" s="12">
        <v>497</v>
      </c>
      <c r="F17" s="12" t="s">
        <v>2</v>
      </c>
      <c r="G17" s="12" t="s">
        <v>3</v>
      </c>
      <c r="H17" s="12">
        <v>24</v>
      </c>
      <c r="I17" s="12">
        <v>3</v>
      </c>
      <c r="J17" s="13">
        <v>7400</v>
      </c>
      <c r="K17" s="12">
        <v>1</v>
      </c>
      <c r="L17" s="12">
        <v>0</v>
      </c>
      <c r="M17" s="1">
        <v>76390.009999999995</v>
      </c>
      <c r="N17" s="14">
        <v>0</v>
      </c>
      <c r="O17" s="17">
        <v>46188</v>
      </c>
      <c r="P17" s="16">
        <v>0.1736111111111111</v>
      </c>
      <c r="Q17" s="30">
        <v>9347</v>
      </c>
      <c r="T17" s="19">
        <v>1100</v>
      </c>
      <c r="U17" s="25">
        <v>45152</v>
      </c>
      <c r="V17" s="19" t="s">
        <v>34</v>
      </c>
      <c r="W17" s="19" t="s">
        <v>37</v>
      </c>
      <c r="X17" s="19">
        <v>2198.7399999999998</v>
      </c>
      <c r="Y17" s="19">
        <v>43</v>
      </c>
      <c r="Z17" s="19" t="s">
        <v>40</v>
      </c>
      <c r="AA17" s="19">
        <v>1100.81</v>
      </c>
      <c r="AB17" s="19">
        <v>1137.44</v>
      </c>
      <c r="AE17" s="19">
        <v>1100</v>
      </c>
      <c r="AF17" s="25">
        <v>45152</v>
      </c>
      <c r="AG17" s="19" t="s">
        <v>34</v>
      </c>
      <c r="AH17" s="19" t="s">
        <v>37</v>
      </c>
      <c r="AI17" s="19">
        <v>2198.7399999999998</v>
      </c>
      <c r="AJ17" s="19">
        <v>43</v>
      </c>
      <c r="AK17" s="19" t="s">
        <v>40</v>
      </c>
      <c r="AL17" s="19">
        <v>1100.81</v>
      </c>
      <c r="AM17" s="19">
        <v>1137.44</v>
      </c>
      <c r="AN17" s="19" t="s">
        <v>57</v>
      </c>
      <c r="AO17" s="19">
        <v>0.08</v>
      </c>
      <c r="AP17" s="19" t="s">
        <v>63</v>
      </c>
      <c r="AQ17" s="19" t="s">
        <v>59</v>
      </c>
      <c r="AR17" s="19" t="s">
        <v>62</v>
      </c>
    </row>
    <row r="18" spans="3:44" x14ac:dyDescent="0.25">
      <c r="C18" s="11">
        <v>13</v>
      </c>
      <c r="D18" s="12">
        <v>15632264</v>
      </c>
      <c r="E18" s="12">
        <v>476</v>
      </c>
      <c r="F18" s="12" t="s">
        <v>0</v>
      </c>
      <c r="G18" s="12" t="s">
        <v>1</v>
      </c>
      <c r="H18" s="12">
        <v>34</v>
      </c>
      <c r="I18" s="12">
        <v>10</v>
      </c>
      <c r="J18" s="13">
        <v>64964</v>
      </c>
      <c r="K18" s="12">
        <v>1</v>
      </c>
      <c r="L18" s="12">
        <v>0</v>
      </c>
      <c r="M18" s="1">
        <v>26260.98</v>
      </c>
      <c r="N18" s="14">
        <v>0</v>
      </c>
      <c r="O18" s="17">
        <v>46189</v>
      </c>
      <c r="P18" s="16">
        <v>0.1875</v>
      </c>
      <c r="Q18" s="30">
        <v>26715</v>
      </c>
      <c r="T18" s="19">
        <v>1024</v>
      </c>
      <c r="U18" s="25">
        <v>45241</v>
      </c>
      <c r="V18" s="19" t="s">
        <v>45</v>
      </c>
      <c r="W18" s="19" t="s">
        <v>37</v>
      </c>
      <c r="X18" s="19">
        <v>6607.8</v>
      </c>
      <c r="Y18" s="19">
        <v>21</v>
      </c>
      <c r="Z18" s="19" t="s">
        <v>40</v>
      </c>
      <c r="AA18" s="19">
        <v>622.01</v>
      </c>
      <c r="AB18" s="19">
        <v>641.09</v>
      </c>
      <c r="AE18" s="19">
        <v>1024</v>
      </c>
      <c r="AF18" s="25">
        <v>45241</v>
      </c>
      <c r="AG18" s="19" t="s">
        <v>45</v>
      </c>
      <c r="AH18" s="19" t="s">
        <v>37</v>
      </c>
      <c r="AI18" s="19">
        <v>6607.8</v>
      </c>
      <c r="AJ18" s="19">
        <v>21</v>
      </c>
      <c r="AK18" s="19" t="s">
        <v>40</v>
      </c>
      <c r="AL18" s="19">
        <v>622.01</v>
      </c>
      <c r="AM18" s="19">
        <v>641.09</v>
      </c>
      <c r="AN18" s="19" t="s">
        <v>57</v>
      </c>
      <c r="AO18" s="19">
        <v>0</v>
      </c>
      <c r="AP18" s="19" t="s">
        <v>63</v>
      </c>
      <c r="AQ18" s="19" t="s">
        <v>61</v>
      </c>
      <c r="AR18" s="19" t="s">
        <v>72</v>
      </c>
    </row>
    <row r="19" spans="3:44" x14ac:dyDescent="0.25">
      <c r="C19" s="11">
        <v>14</v>
      </c>
      <c r="D19" s="12">
        <v>15691483</v>
      </c>
      <c r="E19" s="12">
        <v>549</v>
      </c>
      <c r="F19" s="12" t="s">
        <v>0</v>
      </c>
      <c r="G19" s="12" t="s">
        <v>1</v>
      </c>
      <c r="H19" s="12">
        <v>45</v>
      </c>
      <c r="I19" s="12">
        <v>5</v>
      </c>
      <c r="J19" s="13">
        <v>34978</v>
      </c>
      <c r="K19" s="12">
        <v>0</v>
      </c>
      <c r="L19" s="12">
        <v>0</v>
      </c>
      <c r="M19" s="1">
        <v>190857.79</v>
      </c>
      <c r="N19" s="14">
        <v>0</v>
      </c>
      <c r="O19" s="17">
        <v>46190</v>
      </c>
      <c r="P19" s="16">
        <v>0.2013888888888889</v>
      </c>
      <c r="Q19" s="30">
        <v>63456</v>
      </c>
      <c r="T19" s="19">
        <v>1003</v>
      </c>
      <c r="U19" s="25">
        <v>45291</v>
      </c>
      <c r="V19" s="19" t="s">
        <v>46</v>
      </c>
      <c r="W19" s="19" t="s">
        <v>39</v>
      </c>
      <c r="X19" s="19">
        <v>4775.59</v>
      </c>
      <c r="Y19" s="19">
        <v>30</v>
      </c>
      <c r="Z19" s="19" t="s">
        <v>36</v>
      </c>
      <c r="AA19" s="19">
        <v>4190.28</v>
      </c>
      <c r="AB19" s="19">
        <v>4270.6499999999996</v>
      </c>
      <c r="AE19" s="19">
        <v>1003</v>
      </c>
      <c r="AF19" s="25">
        <v>45291</v>
      </c>
      <c r="AG19" s="19" t="s">
        <v>46</v>
      </c>
      <c r="AH19" s="19" t="s">
        <v>39</v>
      </c>
      <c r="AI19" s="19">
        <v>4775.59</v>
      </c>
      <c r="AJ19" s="19">
        <v>30</v>
      </c>
      <c r="AK19" s="19" t="s">
        <v>36</v>
      </c>
      <c r="AL19" s="19">
        <v>4190.28</v>
      </c>
      <c r="AM19" s="19">
        <v>4270.6499999999996</v>
      </c>
      <c r="AN19" s="19" t="s">
        <v>65</v>
      </c>
      <c r="AO19" s="19">
        <v>0.2</v>
      </c>
      <c r="AP19" s="19" t="s">
        <v>58</v>
      </c>
      <c r="AQ19" s="19" t="s">
        <v>59</v>
      </c>
      <c r="AR19" s="19" t="s">
        <v>73</v>
      </c>
    </row>
    <row r="20" spans="3:44" x14ac:dyDescent="0.25">
      <c r="C20" s="11">
        <v>15</v>
      </c>
      <c r="D20" s="12">
        <v>15600882</v>
      </c>
      <c r="E20" s="12">
        <v>635</v>
      </c>
      <c r="F20" s="12" t="s">
        <v>2</v>
      </c>
      <c r="G20" s="12" t="s">
        <v>1</v>
      </c>
      <c r="H20" s="12">
        <v>35</v>
      </c>
      <c r="I20" s="12">
        <v>7</v>
      </c>
      <c r="J20" s="13">
        <v>52908</v>
      </c>
      <c r="K20" s="12">
        <v>1</v>
      </c>
      <c r="L20" s="12">
        <v>1</v>
      </c>
      <c r="M20" s="1">
        <v>65951.649999999994</v>
      </c>
      <c r="N20" s="14">
        <v>0</v>
      </c>
      <c r="O20" s="18">
        <v>46191</v>
      </c>
      <c r="P20" s="16">
        <v>0.22916666666666666</v>
      </c>
      <c r="Q20" s="30">
        <v>26578</v>
      </c>
      <c r="T20" s="19">
        <v>1022</v>
      </c>
      <c r="U20" s="25">
        <v>45155</v>
      </c>
      <c r="V20" s="19" t="s">
        <v>42</v>
      </c>
      <c r="W20" s="19" t="s">
        <v>39</v>
      </c>
      <c r="X20" s="19">
        <v>8813.5499999999993</v>
      </c>
      <c r="Y20" s="19">
        <v>21</v>
      </c>
      <c r="Z20" s="19" t="s">
        <v>40</v>
      </c>
      <c r="AA20" s="19">
        <v>2537.1999999999998</v>
      </c>
      <c r="AB20" s="19">
        <v>2869.6</v>
      </c>
      <c r="AE20" s="19">
        <v>1022</v>
      </c>
      <c r="AF20" s="25">
        <v>45155</v>
      </c>
      <c r="AG20" s="19" t="s">
        <v>42</v>
      </c>
      <c r="AH20" s="19" t="s">
        <v>39</v>
      </c>
      <c r="AI20" s="19">
        <v>8813.5499999999993</v>
      </c>
      <c r="AJ20" s="19">
        <v>21</v>
      </c>
      <c r="AK20" s="19" t="s">
        <v>40</v>
      </c>
      <c r="AL20" s="19">
        <v>2537.1999999999998</v>
      </c>
      <c r="AM20" s="19">
        <v>2869.6</v>
      </c>
      <c r="AN20" s="19" t="s">
        <v>65</v>
      </c>
      <c r="AO20" s="19">
        <v>0.28999999999999998</v>
      </c>
      <c r="AP20" s="19" t="s">
        <v>63</v>
      </c>
      <c r="AQ20" s="19" t="s">
        <v>61</v>
      </c>
      <c r="AR20" s="19" t="s">
        <v>74</v>
      </c>
    </row>
    <row r="21" spans="3:44" x14ac:dyDescent="0.25">
      <c r="T21" s="19">
        <v>1053</v>
      </c>
      <c r="U21" s="25">
        <v>45215</v>
      </c>
      <c r="V21" s="19" t="s">
        <v>34</v>
      </c>
      <c r="W21" s="19" t="s">
        <v>35</v>
      </c>
      <c r="X21" s="19">
        <v>2235.83</v>
      </c>
      <c r="Y21" s="19">
        <v>48</v>
      </c>
      <c r="Z21" s="19" t="s">
        <v>36</v>
      </c>
      <c r="AA21" s="19">
        <v>121.19</v>
      </c>
      <c r="AB21" s="19">
        <v>487.65</v>
      </c>
      <c r="AE21" s="19">
        <v>1053</v>
      </c>
      <c r="AF21" s="25">
        <v>45215</v>
      </c>
      <c r="AG21" s="19" t="s">
        <v>34</v>
      </c>
      <c r="AH21" s="19" t="s">
        <v>35</v>
      </c>
      <c r="AI21" s="19">
        <v>2235.83</v>
      </c>
      <c r="AJ21" s="19">
        <v>48</v>
      </c>
      <c r="AK21" s="19" t="s">
        <v>36</v>
      </c>
      <c r="AL21" s="19">
        <v>121.19</v>
      </c>
      <c r="AM21" s="19">
        <v>487.65</v>
      </c>
      <c r="AN21" s="19" t="s">
        <v>65</v>
      </c>
      <c r="AO21" s="19">
        <v>0.18</v>
      </c>
      <c r="AP21" s="19" t="s">
        <v>58</v>
      </c>
      <c r="AQ21" s="19" t="s">
        <v>61</v>
      </c>
      <c r="AR21" s="19" t="s">
        <v>60</v>
      </c>
    </row>
    <row r="22" spans="3:44" x14ac:dyDescent="0.25">
      <c r="T22" s="19">
        <v>1002</v>
      </c>
      <c r="U22" s="25">
        <v>45076</v>
      </c>
      <c r="V22" s="19" t="s">
        <v>38</v>
      </c>
      <c r="W22" s="19" t="s">
        <v>35</v>
      </c>
      <c r="X22" s="19">
        <v>6810.35</v>
      </c>
      <c r="Y22" s="19">
        <v>17</v>
      </c>
      <c r="Z22" s="19" t="s">
        <v>36</v>
      </c>
      <c r="AA22" s="19">
        <v>4024.76</v>
      </c>
      <c r="AB22" s="19">
        <v>4420.1499999999996</v>
      </c>
      <c r="AE22" s="19">
        <v>1002</v>
      </c>
      <c r="AF22" s="25">
        <v>45076</v>
      </c>
      <c r="AG22" s="19" t="s">
        <v>38</v>
      </c>
      <c r="AH22" s="19" t="s">
        <v>35</v>
      </c>
      <c r="AI22" s="19">
        <v>6810.35</v>
      </c>
      <c r="AJ22" s="19">
        <v>17</v>
      </c>
      <c r="AK22" s="19" t="s">
        <v>36</v>
      </c>
      <c r="AL22" s="19">
        <v>4024.76</v>
      </c>
      <c r="AM22" s="19">
        <v>4420.1499999999996</v>
      </c>
      <c r="AN22" s="19" t="s">
        <v>57</v>
      </c>
      <c r="AO22" s="19">
        <v>0.04</v>
      </c>
      <c r="AP22" s="19" t="s">
        <v>58</v>
      </c>
      <c r="AQ22" s="19" t="s">
        <v>59</v>
      </c>
      <c r="AR22" s="19" t="s">
        <v>75</v>
      </c>
    </row>
    <row r="23" spans="3:44" x14ac:dyDescent="0.25">
      <c r="O23" s="5" t="s">
        <v>15</v>
      </c>
      <c r="P23" s="8" t="s">
        <v>15</v>
      </c>
      <c r="T23" s="19">
        <v>1088</v>
      </c>
      <c r="U23" s="25">
        <v>45203</v>
      </c>
      <c r="V23" s="19" t="s">
        <v>34</v>
      </c>
      <c r="W23" s="19" t="s">
        <v>43</v>
      </c>
      <c r="X23" s="19">
        <v>6116.75</v>
      </c>
      <c r="Y23" s="19">
        <v>40</v>
      </c>
      <c r="Z23" s="19" t="s">
        <v>44</v>
      </c>
      <c r="AA23" s="19">
        <v>4904.93</v>
      </c>
      <c r="AB23" s="19">
        <v>5034.3500000000004</v>
      </c>
      <c r="AE23" s="19">
        <v>1088</v>
      </c>
      <c r="AF23" s="25">
        <v>45203</v>
      </c>
      <c r="AG23" s="19" t="s">
        <v>34</v>
      </c>
      <c r="AH23" s="19" t="s">
        <v>43</v>
      </c>
      <c r="AI23" s="19">
        <v>6116.75</v>
      </c>
      <c r="AJ23" s="19">
        <v>40</v>
      </c>
      <c r="AK23" s="19" t="s">
        <v>44</v>
      </c>
      <c r="AL23" s="19">
        <v>4904.93</v>
      </c>
      <c r="AM23" s="19">
        <v>5034.3500000000004</v>
      </c>
      <c r="AN23" s="19" t="s">
        <v>65</v>
      </c>
      <c r="AO23" s="19">
        <v>0.1</v>
      </c>
      <c r="AP23" s="19" t="s">
        <v>66</v>
      </c>
      <c r="AQ23" s="19" t="s">
        <v>61</v>
      </c>
      <c r="AR23" s="19" t="s">
        <v>76</v>
      </c>
    </row>
    <row r="24" spans="3:44" ht="18.75" x14ac:dyDescent="0.3">
      <c r="D24" s="20" t="s">
        <v>21</v>
      </c>
      <c r="O24" s="6">
        <v>101348.88</v>
      </c>
      <c r="P24" s="9">
        <v>101348.88</v>
      </c>
      <c r="T24" s="19">
        <v>1030</v>
      </c>
      <c r="U24" s="25">
        <v>45124</v>
      </c>
      <c r="V24" s="19" t="s">
        <v>38</v>
      </c>
      <c r="W24" s="19" t="s">
        <v>37</v>
      </c>
      <c r="X24" s="19">
        <v>3023.48</v>
      </c>
      <c r="Y24" s="19">
        <v>19</v>
      </c>
      <c r="Z24" s="19" t="s">
        <v>41</v>
      </c>
      <c r="AA24" s="19">
        <v>3049.33</v>
      </c>
      <c r="AB24" s="19">
        <v>3209.22</v>
      </c>
      <c r="AE24" s="19">
        <v>1030</v>
      </c>
      <c r="AF24" s="25">
        <v>45124</v>
      </c>
      <c r="AG24" s="19" t="s">
        <v>38</v>
      </c>
      <c r="AH24" s="19" t="s">
        <v>37</v>
      </c>
      <c r="AI24" s="19">
        <v>3023.48</v>
      </c>
      <c r="AJ24" s="19">
        <v>19</v>
      </c>
      <c r="AK24" s="19" t="s">
        <v>41</v>
      </c>
      <c r="AL24" s="19">
        <v>3049.33</v>
      </c>
      <c r="AM24" s="19">
        <v>3209.22</v>
      </c>
      <c r="AN24" s="19" t="s">
        <v>57</v>
      </c>
      <c r="AO24" s="19">
        <v>0.26</v>
      </c>
      <c r="AP24" s="19" t="s">
        <v>58</v>
      </c>
      <c r="AQ24" s="19" t="s">
        <v>59</v>
      </c>
      <c r="AR24" s="19" t="s">
        <v>77</v>
      </c>
    </row>
    <row r="25" spans="3:44" x14ac:dyDescent="0.25">
      <c r="F25" t="s">
        <v>23</v>
      </c>
      <c r="I25" t="s">
        <v>24</v>
      </c>
      <c r="K25" t="s">
        <v>22</v>
      </c>
      <c r="O25" s="6">
        <v>112542.58</v>
      </c>
      <c r="P25" s="9">
        <v>112542.58</v>
      </c>
      <c r="R25" t="s">
        <v>51</v>
      </c>
      <c r="T25" s="19">
        <v>1038</v>
      </c>
      <c r="U25" s="25">
        <v>44996</v>
      </c>
      <c r="V25" s="19" t="s">
        <v>34</v>
      </c>
      <c r="W25" s="19" t="s">
        <v>39</v>
      </c>
      <c r="X25" s="19">
        <v>1452.35</v>
      </c>
      <c r="Y25" s="19">
        <v>15</v>
      </c>
      <c r="Z25" s="19" t="s">
        <v>41</v>
      </c>
      <c r="AA25" s="19">
        <v>2543.36</v>
      </c>
      <c r="AB25" s="19">
        <v>2790.1</v>
      </c>
      <c r="AE25" s="19">
        <v>1038</v>
      </c>
      <c r="AF25" s="25">
        <v>44996</v>
      </c>
      <c r="AG25" s="19" t="s">
        <v>34</v>
      </c>
      <c r="AH25" s="19" t="s">
        <v>39</v>
      </c>
      <c r="AI25" s="19">
        <v>1452.35</v>
      </c>
      <c r="AJ25" s="19">
        <v>15</v>
      </c>
      <c r="AK25" s="19" t="s">
        <v>41</v>
      </c>
      <c r="AL25" s="19">
        <v>2543.36</v>
      </c>
      <c r="AM25" s="19">
        <v>2790.1</v>
      </c>
      <c r="AN25" s="19" t="s">
        <v>57</v>
      </c>
      <c r="AO25" s="19">
        <v>7.0000000000000007E-2</v>
      </c>
      <c r="AP25" s="19" t="s">
        <v>58</v>
      </c>
      <c r="AQ25" s="19" t="s">
        <v>59</v>
      </c>
      <c r="AR25" s="19" t="s">
        <v>67</v>
      </c>
    </row>
    <row r="26" spans="3:44" x14ac:dyDescent="0.25">
      <c r="C26" s="19" t="s">
        <v>19</v>
      </c>
      <c r="D26" s="19" t="s">
        <v>20</v>
      </c>
      <c r="F26" s="21" t="s">
        <v>19</v>
      </c>
      <c r="G26" s="19" t="s">
        <v>20</v>
      </c>
      <c r="I26" s="22" t="s">
        <v>20</v>
      </c>
      <c r="K26" s="23" t="s">
        <v>20</v>
      </c>
      <c r="O26" s="6">
        <v>113931.57</v>
      </c>
      <c r="P26" s="9">
        <v>113931.57</v>
      </c>
      <c r="T26" s="19">
        <v>1002</v>
      </c>
      <c r="U26" s="25">
        <v>45038</v>
      </c>
      <c r="V26" s="19" t="s">
        <v>45</v>
      </c>
      <c r="W26" s="19" t="s">
        <v>35</v>
      </c>
      <c r="X26" s="19">
        <v>6551.23</v>
      </c>
      <c r="Y26" s="19">
        <v>9</v>
      </c>
      <c r="Z26" s="19" t="s">
        <v>44</v>
      </c>
      <c r="AA26" s="19">
        <v>4398.16</v>
      </c>
      <c r="AB26" s="19">
        <v>4439.12</v>
      </c>
      <c r="AE26" s="19">
        <v>1002</v>
      </c>
      <c r="AF26" s="25">
        <v>45038</v>
      </c>
      <c r="AG26" s="19" t="s">
        <v>45</v>
      </c>
      <c r="AH26" s="19" t="s">
        <v>35</v>
      </c>
      <c r="AI26" s="19">
        <v>6551.23</v>
      </c>
      <c r="AJ26" s="19">
        <v>9</v>
      </c>
      <c r="AK26" s="19" t="s">
        <v>44</v>
      </c>
      <c r="AL26" s="19">
        <v>4398.16</v>
      </c>
      <c r="AM26" s="19">
        <v>4439.12</v>
      </c>
      <c r="AN26" s="19" t="s">
        <v>65</v>
      </c>
      <c r="AO26" s="19">
        <v>0.18</v>
      </c>
      <c r="AP26" s="19" t="s">
        <v>63</v>
      </c>
      <c r="AQ26" s="19" t="s">
        <v>59</v>
      </c>
      <c r="AR26" s="19" t="s">
        <v>71</v>
      </c>
    </row>
    <row r="27" spans="3:44" x14ac:dyDescent="0.25">
      <c r="C27" s="19">
        <v>20</v>
      </c>
      <c r="D27" s="19">
        <v>86493</v>
      </c>
      <c r="F27" s="21">
        <v>20</v>
      </c>
      <c r="G27" s="19">
        <v>86493</v>
      </c>
      <c r="I27" s="22">
        <v>86493</v>
      </c>
      <c r="K27" s="23">
        <v>86493</v>
      </c>
      <c r="O27" s="6">
        <v>93826.63</v>
      </c>
      <c r="P27" s="9">
        <v>93826.63</v>
      </c>
      <c r="T27" s="19">
        <v>1064</v>
      </c>
      <c r="U27" s="25">
        <v>44930</v>
      </c>
      <c r="V27" s="19" t="s">
        <v>45</v>
      </c>
      <c r="W27" s="19" t="s">
        <v>43</v>
      </c>
      <c r="X27" s="19">
        <v>7412.11</v>
      </c>
      <c r="Y27" s="19">
        <v>10</v>
      </c>
      <c r="Z27" s="19" t="s">
        <v>44</v>
      </c>
      <c r="AA27" s="19">
        <v>4764.96</v>
      </c>
      <c r="AB27" s="19">
        <v>5074.42</v>
      </c>
      <c r="AE27" s="19">
        <v>1064</v>
      </c>
      <c r="AF27" s="25">
        <v>44930</v>
      </c>
      <c r="AG27" s="19" t="s">
        <v>45</v>
      </c>
      <c r="AH27" s="19" t="s">
        <v>43</v>
      </c>
      <c r="AI27" s="19">
        <v>7412.11</v>
      </c>
      <c r="AJ27" s="19">
        <v>10</v>
      </c>
      <c r="AK27" s="19" t="s">
        <v>44</v>
      </c>
      <c r="AL27" s="19">
        <v>4764.96</v>
      </c>
      <c r="AM27" s="19">
        <v>5074.42</v>
      </c>
      <c r="AN27" s="19" t="s">
        <v>65</v>
      </c>
      <c r="AO27" s="19">
        <v>0.12</v>
      </c>
      <c r="AP27" s="19" t="s">
        <v>58</v>
      </c>
      <c r="AQ27" s="19" t="s">
        <v>59</v>
      </c>
      <c r="AR27" s="19" t="s">
        <v>78</v>
      </c>
    </row>
    <row r="28" spans="3:44" x14ac:dyDescent="0.25">
      <c r="C28" s="19">
        <v>2</v>
      </c>
      <c r="D28" s="19">
        <v>-76435</v>
      </c>
      <c r="F28" s="21">
        <v>2</v>
      </c>
      <c r="G28" s="19">
        <v>-76435</v>
      </c>
      <c r="I28" s="22">
        <v>-76435</v>
      </c>
      <c r="K28" s="23">
        <v>-76435</v>
      </c>
      <c r="O28" s="6">
        <v>79084.100000000006</v>
      </c>
      <c r="P28" s="9">
        <v>79084.100000000006</v>
      </c>
      <c r="T28" s="19">
        <v>1060</v>
      </c>
      <c r="U28" s="25">
        <v>45276</v>
      </c>
      <c r="V28" s="19" t="s">
        <v>45</v>
      </c>
      <c r="W28" s="19" t="s">
        <v>43</v>
      </c>
      <c r="X28" s="19">
        <v>3224.71</v>
      </c>
      <c r="Y28" s="19">
        <v>44</v>
      </c>
      <c r="Z28" s="19" t="s">
        <v>41</v>
      </c>
      <c r="AA28" s="19">
        <v>3784.96</v>
      </c>
      <c r="AB28" s="19">
        <v>4276.99</v>
      </c>
      <c r="AE28" s="19">
        <v>1060</v>
      </c>
      <c r="AF28" s="25">
        <v>45276</v>
      </c>
      <c r="AG28" s="19" t="s">
        <v>45</v>
      </c>
      <c r="AH28" s="19" t="s">
        <v>43</v>
      </c>
      <c r="AI28" s="19">
        <v>3224.71</v>
      </c>
      <c r="AJ28" s="19">
        <v>44</v>
      </c>
      <c r="AK28" s="19" t="s">
        <v>41</v>
      </c>
      <c r="AL28" s="19">
        <v>3784.96</v>
      </c>
      <c r="AM28" s="19">
        <v>4276.99</v>
      </c>
      <c r="AN28" s="19" t="s">
        <v>65</v>
      </c>
      <c r="AO28" s="19">
        <v>0.06</v>
      </c>
      <c r="AP28" s="19" t="s">
        <v>63</v>
      </c>
      <c r="AQ28" s="19" t="s">
        <v>61</v>
      </c>
      <c r="AR28" s="19" t="s">
        <v>78</v>
      </c>
    </row>
    <row r="29" spans="3:44" x14ac:dyDescent="0.25">
      <c r="C29" s="19">
        <v>456</v>
      </c>
      <c r="D29" s="19">
        <v>0</v>
      </c>
      <c r="F29" s="21">
        <v>456</v>
      </c>
      <c r="G29" s="19">
        <v>0</v>
      </c>
      <c r="I29" s="22">
        <v>0</v>
      </c>
      <c r="K29" s="23">
        <v>0</v>
      </c>
      <c r="O29" s="6">
        <v>149756.71</v>
      </c>
      <c r="P29" s="9">
        <v>149756.71</v>
      </c>
      <c r="T29" s="19">
        <v>1021</v>
      </c>
      <c r="U29" s="25">
        <v>45257</v>
      </c>
      <c r="V29" s="19" t="s">
        <v>46</v>
      </c>
      <c r="W29" s="19" t="s">
        <v>39</v>
      </c>
      <c r="X29" s="19">
        <v>6483.84</v>
      </c>
      <c r="Y29" s="19">
        <v>31</v>
      </c>
      <c r="Z29" s="19" t="s">
        <v>36</v>
      </c>
      <c r="AA29" s="19">
        <v>2254.9899999999998</v>
      </c>
      <c r="AB29" s="19">
        <v>2441.79</v>
      </c>
      <c r="AE29" s="19">
        <v>1021</v>
      </c>
      <c r="AF29" s="25">
        <v>45257</v>
      </c>
      <c r="AG29" s="19" t="s">
        <v>46</v>
      </c>
      <c r="AH29" s="19" t="s">
        <v>39</v>
      </c>
      <c r="AI29" s="19">
        <v>6483.84</v>
      </c>
      <c r="AJ29" s="19">
        <v>31</v>
      </c>
      <c r="AK29" s="19" t="s">
        <v>36</v>
      </c>
      <c r="AL29" s="19">
        <v>2254.9899999999998</v>
      </c>
      <c r="AM29" s="19">
        <v>2441.79</v>
      </c>
      <c r="AN29" s="19" t="s">
        <v>57</v>
      </c>
      <c r="AO29" s="19">
        <v>0.24</v>
      </c>
      <c r="AP29" s="19" t="s">
        <v>63</v>
      </c>
      <c r="AQ29" s="19" t="s">
        <v>59</v>
      </c>
      <c r="AR29" s="19" t="s">
        <v>73</v>
      </c>
    </row>
    <row r="30" spans="3:44" x14ac:dyDescent="0.25">
      <c r="C30" s="19">
        <v>45</v>
      </c>
      <c r="D30" s="19">
        <v>65432</v>
      </c>
      <c r="F30" s="21">
        <v>45</v>
      </c>
      <c r="G30" s="19">
        <v>65432</v>
      </c>
      <c r="I30" s="22">
        <v>65432</v>
      </c>
      <c r="K30" s="23">
        <v>65432</v>
      </c>
      <c r="O30" s="6">
        <v>10062.799999999999</v>
      </c>
      <c r="P30" s="9">
        <v>10062.799999999999</v>
      </c>
      <c r="T30" s="19">
        <v>1033</v>
      </c>
      <c r="U30" s="25">
        <v>45244</v>
      </c>
      <c r="V30" s="19" t="s">
        <v>38</v>
      </c>
      <c r="W30" s="19" t="s">
        <v>39</v>
      </c>
      <c r="X30" s="19">
        <v>4011.8</v>
      </c>
      <c r="Y30" s="19">
        <v>23</v>
      </c>
      <c r="Z30" s="19" t="s">
        <v>36</v>
      </c>
      <c r="AA30" s="19">
        <v>2981.5</v>
      </c>
      <c r="AB30" s="19">
        <v>3360.4</v>
      </c>
      <c r="AE30" s="19">
        <v>1033</v>
      </c>
      <c r="AF30" s="25">
        <v>45244</v>
      </c>
      <c r="AG30" s="19" t="s">
        <v>38</v>
      </c>
      <c r="AH30" s="19" t="s">
        <v>39</v>
      </c>
      <c r="AI30" s="19">
        <v>4011.8</v>
      </c>
      <c r="AJ30" s="19">
        <v>23</v>
      </c>
      <c r="AK30" s="19" t="s">
        <v>36</v>
      </c>
      <c r="AL30" s="19">
        <v>2981.5</v>
      </c>
      <c r="AM30" s="19">
        <v>3360.4</v>
      </c>
      <c r="AN30" s="19" t="s">
        <v>57</v>
      </c>
      <c r="AO30" s="19">
        <v>0.22</v>
      </c>
      <c r="AP30" s="19" t="s">
        <v>63</v>
      </c>
      <c r="AQ30" s="19" t="s">
        <v>61</v>
      </c>
      <c r="AR30" s="19" t="s">
        <v>64</v>
      </c>
    </row>
    <row r="31" spans="3:44" x14ac:dyDescent="0.25">
      <c r="C31" s="19">
        <v>21</v>
      </c>
      <c r="D31" s="19">
        <v>-5432</v>
      </c>
      <c r="F31" s="21">
        <v>21</v>
      </c>
      <c r="G31" s="19">
        <v>-5432</v>
      </c>
      <c r="I31" s="22">
        <v>-5432</v>
      </c>
      <c r="K31" s="23">
        <v>-5432</v>
      </c>
      <c r="O31" s="6">
        <v>119346.88</v>
      </c>
      <c r="P31" s="9">
        <v>119346.88</v>
      </c>
      <c r="T31" s="19">
        <v>1076</v>
      </c>
      <c r="U31" s="25">
        <v>45276</v>
      </c>
      <c r="V31" s="19" t="s">
        <v>45</v>
      </c>
      <c r="W31" s="19" t="s">
        <v>43</v>
      </c>
      <c r="X31" s="19">
        <v>7160.75</v>
      </c>
      <c r="Y31" s="19">
        <v>30</v>
      </c>
      <c r="Z31" s="19" t="s">
        <v>41</v>
      </c>
      <c r="AA31" s="19">
        <v>3519.63</v>
      </c>
      <c r="AB31" s="19">
        <v>3774.65</v>
      </c>
      <c r="AE31" s="19">
        <v>1076</v>
      </c>
      <c r="AF31" s="25">
        <v>45276</v>
      </c>
      <c r="AG31" s="19" t="s">
        <v>45</v>
      </c>
      <c r="AH31" s="19" t="s">
        <v>43</v>
      </c>
      <c r="AI31" s="19">
        <v>7160.75</v>
      </c>
      <c r="AJ31" s="19">
        <v>30</v>
      </c>
      <c r="AK31" s="19" t="s">
        <v>41</v>
      </c>
      <c r="AL31" s="19">
        <v>3519.63</v>
      </c>
      <c r="AM31" s="19">
        <v>3774.65</v>
      </c>
      <c r="AN31" s="19" t="s">
        <v>65</v>
      </c>
      <c r="AO31" s="19">
        <v>0.2</v>
      </c>
      <c r="AP31" s="19" t="s">
        <v>66</v>
      </c>
      <c r="AQ31" s="19" t="s">
        <v>61</v>
      </c>
      <c r="AR31" s="19" t="s">
        <v>78</v>
      </c>
    </row>
    <row r="32" spans="3:44" x14ac:dyDescent="0.25">
      <c r="C32" s="19">
        <v>9</v>
      </c>
      <c r="D32" s="19">
        <v>864365</v>
      </c>
      <c r="F32" s="21">
        <v>9</v>
      </c>
      <c r="G32" s="19">
        <v>864365</v>
      </c>
      <c r="I32" s="22">
        <v>864365</v>
      </c>
      <c r="K32" s="23">
        <v>864365</v>
      </c>
      <c r="O32" s="6">
        <v>74940.5</v>
      </c>
      <c r="P32" s="9">
        <v>74940.5</v>
      </c>
      <c r="T32" s="19">
        <v>1058</v>
      </c>
      <c r="U32" s="25">
        <v>45021</v>
      </c>
      <c r="V32" s="19" t="s">
        <v>46</v>
      </c>
      <c r="W32" s="19" t="s">
        <v>35</v>
      </c>
      <c r="X32" s="19">
        <v>2072.23</v>
      </c>
      <c r="Y32" s="19">
        <v>33</v>
      </c>
      <c r="Z32" s="19" t="s">
        <v>36</v>
      </c>
      <c r="AA32" s="19">
        <v>1011.65</v>
      </c>
      <c r="AB32" s="19">
        <v>1084.28</v>
      </c>
      <c r="AE32" s="19">
        <v>1058</v>
      </c>
      <c r="AF32" s="25">
        <v>45021</v>
      </c>
      <c r="AG32" s="19" t="s">
        <v>46</v>
      </c>
      <c r="AH32" s="19" t="s">
        <v>35</v>
      </c>
      <c r="AI32" s="19">
        <v>2072.23</v>
      </c>
      <c r="AJ32" s="19">
        <v>33</v>
      </c>
      <c r="AK32" s="19" t="s">
        <v>36</v>
      </c>
      <c r="AL32" s="19">
        <v>1011.65</v>
      </c>
      <c r="AM32" s="19">
        <v>1084.28</v>
      </c>
      <c r="AN32" s="19" t="s">
        <v>57</v>
      </c>
      <c r="AO32" s="19">
        <v>7.0000000000000007E-2</v>
      </c>
      <c r="AP32" s="19" t="s">
        <v>63</v>
      </c>
      <c r="AQ32" s="19" t="s">
        <v>61</v>
      </c>
      <c r="AR32" s="19" t="s">
        <v>79</v>
      </c>
    </row>
    <row r="33" spans="3:47" x14ac:dyDescent="0.25">
      <c r="O33" s="6">
        <v>71725.73</v>
      </c>
      <c r="P33" s="9">
        <v>71725.73</v>
      </c>
      <c r="T33" s="19">
        <v>1022</v>
      </c>
      <c r="U33" s="25">
        <v>45078</v>
      </c>
      <c r="V33" s="19" t="s">
        <v>38</v>
      </c>
      <c r="W33" s="19" t="s">
        <v>43</v>
      </c>
      <c r="X33" s="19">
        <v>8913.1299999999992</v>
      </c>
      <c r="Y33" s="19">
        <v>9</v>
      </c>
      <c r="Z33" s="19" t="s">
        <v>44</v>
      </c>
      <c r="AA33" s="19">
        <v>2263.65</v>
      </c>
      <c r="AB33" s="19">
        <v>2558.9499999999998</v>
      </c>
      <c r="AE33" s="19">
        <v>1022</v>
      </c>
      <c r="AF33" s="25">
        <v>45078</v>
      </c>
      <c r="AG33" s="19" t="s">
        <v>38</v>
      </c>
      <c r="AH33" s="19" t="s">
        <v>43</v>
      </c>
      <c r="AI33" s="19">
        <v>8913.1299999999992</v>
      </c>
      <c r="AJ33" s="19">
        <v>9</v>
      </c>
      <c r="AK33" s="19" t="s">
        <v>44</v>
      </c>
      <c r="AL33" s="19">
        <v>2263.65</v>
      </c>
      <c r="AM33" s="19">
        <v>2558.9499999999998</v>
      </c>
      <c r="AN33" s="19" t="s">
        <v>65</v>
      </c>
      <c r="AO33" s="19">
        <v>0.03</v>
      </c>
      <c r="AP33" s="19" t="s">
        <v>58</v>
      </c>
      <c r="AQ33" s="19" t="s">
        <v>59</v>
      </c>
      <c r="AR33" s="19" t="s">
        <v>80</v>
      </c>
    </row>
    <row r="34" spans="3:47" x14ac:dyDescent="0.25">
      <c r="D34" t="s">
        <v>49</v>
      </c>
      <c r="K34" s="24"/>
      <c r="O34" s="6">
        <v>80181.119999999995</v>
      </c>
      <c r="P34" s="9">
        <v>80181.119999999995</v>
      </c>
      <c r="T34" s="19">
        <v>1089</v>
      </c>
      <c r="U34" s="25">
        <v>45237</v>
      </c>
      <c r="V34" s="19" t="s">
        <v>34</v>
      </c>
      <c r="W34" s="19" t="s">
        <v>37</v>
      </c>
      <c r="X34" s="19">
        <v>2945.36</v>
      </c>
      <c r="Y34" s="19">
        <v>47</v>
      </c>
      <c r="Z34" s="19" t="s">
        <v>36</v>
      </c>
      <c r="AA34" s="19">
        <v>4157.62</v>
      </c>
      <c r="AB34" s="19">
        <v>4314.5599999999904</v>
      </c>
      <c r="AE34" s="19">
        <v>1089</v>
      </c>
      <c r="AF34" s="25">
        <v>45237</v>
      </c>
      <c r="AG34" s="19" t="s">
        <v>34</v>
      </c>
      <c r="AH34" s="19" t="s">
        <v>37</v>
      </c>
      <c r="AI34" s="19">
        <v>2945.36</v>
      </c>
      <c r="AJ34" s="19">
        <v>47</v>
      </c>
      <c r="AK34" s="19" t="s">
        <v>36</v>
      </c>
      <c r="AL34" s="19">
        <v>4157.62</v>
      </c>
      <c r="AM34" s="19">
        <v>4314.5599999999904</v>
      </c>
      <c r="AN34" s="19" t="s">
        <v>65</v>
      </c>
      <c r="AO34" s="19">
        <v>0.17</v>
      </c>
      <c r="AP34" s="19" t="s">
        <v>63</v>
      </c>
      <c r="AQ34" s="19" t="s">
        <v>61</v>
      </c>
      <c r="AR34" s="19" t="s">
        <v>62</v>
      </c>
    </row>
    <row r="35" spans="3:47" x14ac:dyDescent="0.25">
      <c r="C35" s="27" t="s">
        <v>19</v>
      </c>
      <c r="D35" s="28" t="s">
        <v>19</v>
      </c>
      <c r="E35" s="29" t="s">
        <v>19</v>
      </c>
      <c r="O35" s="6">
        <v>76390.009999999995</v>
      </c>
      <c r="P35" s="9">
        <v>76390.009999999995</v>
      </c>
      <c r="T35" s="19">
        <v>1049</v>
      </c>
      <c r="U35" s="25">
        <v>45063</v>
      </c>
      <c r="V35" s="19" t="s">
        <v>46</v>
      </c>
      <c r="W35" s="19" t="s">
        <v>37</v>
      </c>
      <c r="X35" s="19">
        <v>3741.08</v>
      </c>
      <c r="Y35" s="19">
        <v>1</v>
      </c>
      <c r="Z35" s="19" t="s">
        <v>36</v>
      </c>
      <c r="AA35" s="19">
        <v>3290.89</v>
      </c>
      <c r="AB35" s="19">
        <v>3317.75</v>
      </c>
      <c r="AE35" s="19">
        <v>1049</v>
      </c>
      <c r="AF35" s="25">
        <v>45063</v>
      </c>
      <c r="AG35" s="19" t="s">
        <v>46</v>
      </c>
      <c r="AH35" s="19" t="s">
        <v>37</v>
      </c>
      <c r="AI35" s="19">
        <v>3741.08</v>
      </c>
      <c r="AJ35" s="19">
        <v>1</v>
      </c>
      <c r="AK35" s="19" t="s">
        <v>36</v>
      </c>
      <c r="AL35" s="19">
        <v>3290.89</v>
      </c>
      <c r="AM35" s="19">
        <v>3317.75</v>
      </c>
      <c r="AN35" s="19" t="s">
        <v>57</v>
      </c>
      <c r="AO35" s="19">
        <v>0.17</v>
      </c>
      <c r="AP35" s="19" t="s">
        <v>63</v>
      </c>
      <c r="AQ35" s="19" t="s">
        <v>59</v>
      </c>
      <c r="AR35" s="19" t="s">
        <v>81</v>
      </c>
    </row>
    <row r="36" spans="3:47" x14ac:dyDescent="0.25">
      <c r="C36" s="27">
        <v>20</v>
      </c>
      <c r="D36" s="28">
        <v>20</v>
      </c>
      <c r="E36" s="29">
        <v>20</v>
      </c>
      <c r="O36" s="6">
        <v>26260.98</v>
      </c>
      <c r="P36" s="9">
        <v>26260.98</v>
      </c>
      <c r="T36" s="19">
        <v>1091</v>
      </c>
      <c r="U36" s="25">
        <v>45173</v>
      </c>
      <c r="V36" s="19" t="s">
        <v>42</v>
      </c>
      <c r="W36" s="19" t="s">
        <v>39</v>
      </c>
      <c r="X36" s="19">
        <v>675.11</v>
      </c>
      <c r="Y36" s="19">
        <v>44</v>
      </c>
      <c r="Z36" s="19" t="s">
        <v>40</v>
      </c>
      <c r="AA36" s="19">
        <v>2085.46</v>
      </c>
      <c r="AB36" s="19">
        <v>2406.58</v>
      </c>
      <c r="AE36" s="19">
        <v>1091</v>
      </c>
      <c r="AF36" s="25">
        <v>45173</v>
      </c>
      <c r="AG36" s="19" t="s">
        <v>42</v>
      </c>
      <c r="AH36" s="19" t="s">
        <v>39</v>
      </c>
      <c r="AI36" s="19">
        <v>675.11</v>
      </c>
      <c r="AJ36" s="19">
        <v>44</v>
      </c>
      <c r="AK36" s="19" t="s">
        <v>40</v>
      </c>
      <c r="AL36" s="19">
        <v>2085.46</v>
      </c>
      <c r="AM36" s="19">
        <v>2406.58</v>
      </c>
      <c r="AN36" s="19" t="s">
        <v>57</v>
      </c>
      <c r="AO36" s="19">
        <v>0.06</v>
      </c>
      <c r="AP36" s="19" t="s">
        <v>63</v>
      </c>
      <c r="AQ36" s="19" t="s">
        <v>61</v>
      </c>
      <c r="AR36" s="19" t="s">
        <v>74</v>
      </c>
    </row>
    <row r="37" spans="3:47" x14ac:dyDescent="0.25">
      <c r="C37" s="27">
        <v>2</v>
      </c>
      <c r="D37" s="28">
        <v>2</v>
      </c>
      <c r="E37" s="29">
        <v>2</v>
      </c>
      <c r="O37" s="6">
        <v>190857.79</v>
      </c>
      <c r="P37" s="9">
        <v>190857.79</v>
      </c>
      <c r="T37" s="19">
        <v>1059</v>
      </c>
      <c r="U37" s="25">
        <v>45169</v>
      </c>
      <c r="V37" s="19" t="s">
        <v>46</v>
      </c>
      <c r="W37" s="19" t="s">
        <v>35</v>
      </c>
      <c r="X37" s="19">
        <v>1203.97</v>
      </c>
      <c r="Y37" s="19">
        <v>35</v>
      </c>
      <c r="Z37" s="19" t="s">
        <v>40</v>
      </c>
      <c r="AA37" s="19">
        <v>3333.64</v>
      </c>
      <c r="AB37" s="19">
        <v>3764.52</v>
      </c>
      <c r="AE37" s="19">
        <v>1059</v>
      </c>
      <c r="AF37" s="25">
        <v>45169</v>
      </c>
      <c r="AG37" s="19" t="s">
        <v>46</v>
      </c>
      <c r="AH37" s="19" t="s">
        <v>35</v>
      </c>
      <c r="AI37" s="19">
        <v>1203.97</v>
      </c>
      <c r="AJ37" s="19">
        <v>35</v>
      </c>
      <c r="AK37" s="19" t="s">
        <v>40</v>
      </c>
      <c r="AL37" s="19">
        <v>3333.64</v>
      </c>
      <c r="AM37" s="19">
        <v>3764.52</v>
      </c>
      <c r="AN37" s="19" t="s">
        <v>57</v>
      </c>
      <c r="AO37" s="19">
        <v>0.02</v>
      </c>
      <c r="AP37" s="19" t="s">
        <v>66</v>
      </c>
      <c r="AQ37" s="19" t="s">
        <v>59</v>
      </c>
      <c r="AR37" s="19" t="s">
        <v>79</v>
      </c>
    </row>
    <row r="38" spans="3:47" x14ac:dyDescent="0.25">
      <c r="C38" s="27">
        <v>456</v>
      </c>
      <c r="D38" s="28">
        <v>456</v>
      </c>
      <c r="E38" s="29">
        <v>456</v>
      </c>
      <c r="O38" s="7">
        <v>65951.649999999994</v>
      </c>
      <c r="P38" s="10">
        <v>65951.649999999994</v>
      </c>
      <c r="AE38" s="19">
        <v>1042</v>
      </c>
      <c r="AF38" s="25">
        <v>44957</v>
      </c>
      <c r="AG38" s="19" t="s">
        <v>46</v>
      </c>
      <c r="AH38" s="19" t="s">
        <v>35</v>
      </c>
      <c r="AI38" s="19">
        <v>5207.03</v>
      </c>
      <c r="AJ38" s="19">
        <v>11</v>
      </c>
      <c r="AK38" s="19" t="s">
        <v>40</v>
      </c>
      <c r="AL38" s="19">
        <v>635.20000000000005</v>
      </c>
      <c r="AM38" s="19">
        <v>814.14</v>
      </c>
      <c r="AN38" s="19" t="s">
        <v>57</v>
      </c>
      <c r="AO38" s="19">
        <v>0.02</v>
      </c>
      <c r="AP38" s="19" t="s">
        <v>58</v>
      </c>
      <c r="AQ38" s="19" t="s">
        <v>59</v>
      </c>
      <c r="AR38" s="19" t="s">
        <v>79</v>
      </c>
      <c r="AT38" s="31" t="s">
        <v>55</v>
      </c>
      <c r="AU38" t="s">
        <v>84</v>
      </c>
    </row>
    <row r="39" spans="3:47" x14ac:dyDescent="0.25">
      <c r="C39" s="27">
        <v>45</v>
      </c>
      <c r="D39" s="28">
        <v>45</v>
      </c>
      <c r="E39" s="29">
        <v>45</v>
      </c>
      <c r="AE39" s="19">
        <v>1092</v>
      </c>
      <c r="AF39" s="25">
        <v>44966</v>
      </c>
      <c r="AG39" s="19" t="s">
        <v>38</v>
      </c>
      <c r="AH39" s="19" t="s">
        <v>37</v>
      </c>
      <c r="AI39" s="19">
        <v>2749.17</v>
      </c>
      <c r="AJ39" s="19">
        <v>34</v>
      </c>
      <c r="AK39" s="19" t="s">
        <v>36</v>
      </c>
      <c r="AL39" s="19">
        <v>2037.41</v>
      </c>
      <c r="AM39" s="19">
        <v>2238.65</v>
      </c>
      <c r="AN39" s="19" t="s">
        <v>65</v>
      </c>
      <c r="AO39" s="19">
        <v>0.3</v>
      </c>
      <c r="AP39" s="19" t="s">
        <v>66</v>
      </c>
      <c r="AQ39" s="19" t="s">
        <v>59</v>
      </c>
      <c r="AR39" s="19" t="s">
        <v>77</v>
      </c>
      <c r="AT39" t="s">
        <v>59</v>
      </c>
      <c r="AU39" s="32">
        <v>24</v>
      </c>
    </row>
    <row r="40" spans="3:47" x14ac:dyDescent="0.25">
      <c r="C40" s="27">
        <v>21</v>
      </c>
      <c r="D40" s="28">
        <v>21</v>
      </c>
      <c r="E40" s="29">
        <v>21</v>
      </c>
      <c r="AE40" s="19">
        <v>1060</v>
      </c>
      <c r="AF40" s="25">
        <v>45155</v>
      </c>
      <c r="AG40" s="19" t="s">
        <v>34</v>
      </c>
      <c r="AH40" s="19" t="s">
        <v>43</v>
      </c>
      <c r="AI40" s="19">
        <v>8371.25</v>
      </c>
      <c r="AJ40" s="19">
        <v>16</v>
      </c>
      <c r="AK40" s="19" t="s">
        <v>41</v>
      </c>
      <c r="AL40" s="19">
        <v>3975.99</v>
      </c>
      <c r="AM40" s="19">
        <v>4422.59</v>
      </c>
      <c r="AN40" s="19" t="s">
        <v>65</v>
      </c>
      <c r="AO40" s="19">
        <v>0.24</v>
      </c>
      <c r="AP40" s="19" t="s">
        <v>58</v>
      </c>
      <c r="AQ40" s="19" t="s">
        <v>59</v>
      </c>
      <c r="AR40" s="19" t="s">
        <v>76</v>
      </c>
      <c r="AT40" t="s">
        <v>61</v>
      </c>
      <c r="AU40" s="32">
        <v>18</v>
      </c>
    </row>
    <row r="41" spans="3:47" x14ac:dyDescent="0.25">
      <c r="C41" s="27">
        <v>9</v>
      </c>
      <c r="D41" s="28">
        <v>9</v>
      </c>
      <c r="E41" s="29">
        <v>9</v>
      </c>
      <c r="AE41" s="19">
        <v>1080</v>
      </c>
      <c r="AF41" s="25">
        <v>44962</v>
      </c>
      <c r="AG41" s="19" t="s">
        <v>42</v>
      </c>
      <c r="AH41" s="19" t="s">
        <v>39</v>
      </c>
      <c r="AI41" s="19">
        <v>245.46</v>
      </c>
      <c r="AJ41" s="19">
        <v>9</v>
      </c>
      <c r="AK41" s="19" t="s">
        <v>44</v>
      </c>
      <c r="AL41" s="19">
        <v>1141.52</v>
      </c>
      <c r="AM41" s="19">
        <v>1550.19</v>
      </c>
      <c r="AN41" s="19" t="s">
        <v>65</v>
      </c>
      <c r="AO41" s="19">
        <v>0.28000000000000003</v>
      </c>
      <c r="AP41" s="19" t="s">
        <v>66</v>
      </c>
      <c r="AQ41" s="19" t="s">
        <v>61</v>
      </c>
      <c r="AR41" s="19" t="s">
        <v>74</v>
      </c>
    </row>
    <row r="42" spans="3:47" x14ac:dyDescent="0.25">
      <c r="AE42" s="19">
        <v>1015</v>
      </c>
      <c r="AF42" s="25">
        <v>45149</v>
      </c>
      <c r="AG42" s="19" t="s">
        <v>45</v>
      </c>
      <c r="AH42" s="19" t="s">
        <v>43</v>
      </c>
      <c r="AI42" s="19">
        <v>3853.03</v>
      </c>
      <c r="AJ42" s="19">
        <v>32</v>
      </c>
      <c r="AK42" s="19" t="s">
        <v>36</v>
      </c>
      <c r="AL42" s="19">
        <v>970.51</v>
      </c>
      <c r="AM42" s="19">
        <v>1330.84</v>
      </c>
      <c r="AN42" s="19" t="s">
        <v>57</v>
      </c>
      <c r="AO42" s="19">
        <v>0.06</v>
      </c>
      <c r="AP42" s="19" t="s">
        <v>58</v>
      </c>
      <c r="AQ42" s="19" t="s">
        <v>61</v>
      </c>
      <c r="AR42" s="19" t="s">
        <v>78</v>
      </c>
    </row>
    <row r="43" spans="3:47" x14ac:dyDescent="0.25">
      <c r="AE43" s="19">
        <v>1062</v>
      </c>
      <c r="AF43" s="25">
        <v>44932</v>
      </c>
      <c r="AG43" s="19" t="s">
        <v>45</v>
      </c>
      <c r="AH43" s="19" t="s">
        <v>43</v>
      </c>
      <c r="AI43" s="19">
        <v>3439.72</v>
      </c>
      <c r="AJ43" s="19">
        <v>15</v>
      </c>
      <c r="AK43" s="19" t="s">
        <v>41</v>
      </c>
      <c r="AL43" s="19">
        <v>4756.55</v>
      </c>
      <c r="AM43" s="19">
        <v>4888.46</v>
      </c>
      <c r="AN43" s="19" t="s">
        <v>65</v>
      </c>
      <c r="AO43" s="19">
        <v>0.28999999999999998</v>
      </c>
      <c r="AP43" s="19" t="s">
        <v>66</v>
      </c>
      <c r="AQ43" s="19" t="s">
        <v>59</v>
      </c>
      <c r="AR43" s="19" t="s">
        <v>78</v>
      </c>
    </row>
    <row r="44" spans="3:47" x14ac:dyDescent="0.25">
      <c r="AE44" s="19">
        <v>1062</v>
      </c>
      <c r="AF44" s="25">
        <v>45248</v>
      </c>
      <c r="AG44" s="19" t="s">
        <v>46</v>
      </c>
      <c r="AH44" s="19" t="s">
        <v>43</v>
      </c>
      <c r="AI44" s="19">
        <v>291.33999999999997</v>
      </c>
      <c r="AJ44" s="19">
        <v>12</v>
      </c>
      <c r="AK44" s="19" t="s">
        <v>36</v>
      </c>
      <c r="AL44" s="19">
        <v>1088.99</v>
      </c>
      <c r="AM44" s="19">
        <v>1545</v>
      </c>
      <c r="AN44" s="19" t="s">
        <v>57</v>
      </c>
      <c r="AO44" s="19">
        <v>0.04</v>
      </c>
      <c r="AP44" s="19" t="s">
        <v>63</v>
      </c>
      <c r="AQ44" s="19" t="s">
        <v>61</v>
      </c>
      <c r="AR44" s="19" t="s">
        <v>82</v>
      </c>
    </row>
    <row r="45" spans="3:47" x14ac:dyDescent="0.25">
      <c r="AE45" s="19">
        <v>1047</v>
      </c>
      <c r="AF45" s="25">
        <v>45146</v>
      </c>
      <c r="AG45" s="19" t="s">
        <v>38</v>
      </c>
      <c r="AH45" s="19" t="s">
        <v>35</v>
      </c>
      <c r="AI45" s="19">
        <v>1331.25</v>
      </c>
      <c r="AJ45" s="19">
        <v>33</v>
      </c>
      <c r="AK45" s="19" t="s">
        <v>44</v>
      </c>
      <c r="AL45" s="19">
        <v>1341.55</v>
      </c>
      <c r="AM45" s="19">
        <v>1427.21</v>
      </c>
      <c r="AN45" s="19" t="s">
        <v>57</v>
      </c>
      <c r="AO45" s="19">
        <v>0.15</v>
      </c>
      <c r="AP45" s="19" t="s">
        <v>66</v>
      </c>
      <c r="AQ45" s="19" t="s">
        <v>59</v>
      </c>
      <c r="AR45" s="19" t="s">
        <v>75</v>
      </c>
    </row>
    <row r="46" spans="3:47" x14ac:dyDescent="0.25">
      <c r="AE46" s="19">
        <v>1062</v>
      </c>
      <c r="AF46" s="25">
        <v>45001</v>
      </c>
      <c r="AG46" s="19" t="s">
        <v>38</v>
      </c>
      <c r="AH46" s="19" t="s">
        <v>37</v>
      </c>
      <c r="AI46" s="19">
        <v>4195.0600000000004</v>
      </c>
      <c r="AJ46" s="19">
        <v>45</v>
      </c>
      <c r="AK46" s="19" t="s">
        <v>36</v>
      </c>
      <c r="AL46" s="19">
        <v>4849.6000000000004</v>
      </c>
      <c r="AM46" s="19">
        <v>5166.72</v>
      </c>
      <c r="AN46" s="19" t="s">
        <v>57</v>
      </c>
      <c r="AO46" s="19">
        <v>0.25</v>
      </c>
      <c r="AP46" s="19" t="s">
        <v>66</v>
      </c>
      <c r="AQ46" s="19" t="s">
        <v>59</v>
      </c>
      <c r="AR46" s="19" t="s">
        <v>77</v>
      </c>
    </row>
    <row r="47" spans="3:47" x14ac:dyDescent="0.25">
      <c r="AE47" s="19">
        <v>1051</v>
      </c>
      <c r="AF47" s="25">
        <v>44930</v>
      </c>
      <c r="AG47" s="19" t="s">
        <v>45</v>
      </c>
      <c r="AH47" s="19" t="s">
        <v>35</v>
      </c>
      <c r="AI47" s="19">
        <v>4979.3599999999997</v>
      </c>
      <c r="AJ47" s="19">
        <v>14</v>
      </c>
      <c r="AK47" s="19" t="s">
        <v>44</v>
      </c>
      <c r="AL47" s="19">
        <v>3686.81</v>
      </c>
      <c r="AM47" s="19">
        <v>3710.92</v>
      </c>
      <c r="AN47" s="19" t="s">
        <v>65</v>
      </c>
      <c r="AO47" s="19">
        <v>0.1</v>
      </c>
      <c r="AP47" s="19" t="s">
        <v>63</v>
      </c>
      <c r="AQ47" s="19" t="s">
        <v>61</v>
      </c>
      <c r="AR47" s="19" t="s">
        <v>71</v>
      </c>
    </row>
  </sheetData>
  <conditionalFormatting sqref="X6:X37">
    <cfRule type="cellIs" dxfId="5" priority="7" operator="lessThan">
      <formula>1500</formula>
    </cfRule>
  </conditionalFormatting>
  <conditionalFormatting sqref="X6:X36">
    <cfRule type="cellIs" dxfId="4" priority="5" operator="greaterThan">
      <formula>3500</formula>
    </cfRule>
    <cfRule type="cellIs" dxfId="3" priority="6" operator="between">
      <formula>1500</formula>
      <formula>3500</formula>
    </cfRule>
  </conditionalFormatting>
  <conditionalFormatting sqref="Y6:Y37">
    <cfRule type="top10" dxfId="2" priority="3" bottom="1" rank="10"/>
    <cfRule type="top10" dxfId="1" priority="4" rank="10"/>
  </conditionalFormatting>
  <conditionalFormatting sqref="AA6:AA37">
    <cfRule type="iconSet" priority="1">
      <iconSet iconSet="3Arrows">
        <cfvo type="percent" val="0"/>
        <cfvo type="percent" val="33"/>
        <cfvo type="percent" val="67"/>
      </iconSet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{47610959-EE57-48D2-81DB-3BB7437638C2}</x14:id>
        </ext>
      </extLst>
    </cfRule>
  </conditionalFormatting>
  <pageMargins left="0.7" right="0.7" top="0.75" bottom="0.75" header="0.3" footer="0.3"/>
  <drawing r:id="rId3"/>
  <tableParts count="3"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610959-EE57-48D2-81DB-3BB7437638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AA6:AA37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2026-06-04T04:21:18Z</dcterms:created>
  <dcterms:modified xsi:type="dcterms:W3CDTF">2026-06-04T11:13:47Z</dcterms:modified>
</cp:coreProperties>
</file>