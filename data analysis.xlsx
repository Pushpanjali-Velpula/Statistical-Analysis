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esktop\New folder\"/>
    </mc:Choice>
  </mc:AlternateContent>
  <xr:revisionPtr revIDLastSave="0" documentId="8_{A4007B0A-A1CA-49C5-A739-0BBEA0813BA9}" xr6:coauthVersionLast="47" xr6:coauthVersionMax="47" xr10:uidLastSave="{00000000-0000-0000-0000-000000000000}"/>
  <bookViews>
    <workbookView xWindow="-120" yWindow="-120" windowWidth="29040" windowHeight="15720" xr2:uid="{5D0A59FB-4C8A-4573-AB03-CB6BDA7D6E81}"/>
  </bookViews>
  <sheets>
    <sheet name="Sheet1" sheetId="1" r:id="rId1"/>
  </sheets>
  <calcPr calcId="191029"/>
  <pivotCaches>
    <pivotCache cacheId="2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15" i="1" l="1"/>
  <c r="AI12" i="1"/>
  <c r="AH11" i="1"/>
  <c r="AG10" i="1"/>
  <c r="AF9" i="1"/>
  <c r="AE8" i="1"/>
  <c r="AD7" i="1"/>
  <c r="AC6" i="1"/>
</calcChain>
</file>

<file path=xl/sharedStrings.xml><?xml version="1.0" encoding="utf-8"?>
<sst xmlns="http://schemas.openxmlformats.org/spreadsheetml/2006/main" count="384" uniqueCount="116">
  <si>
    <t>SNO</t>
  </si>
  <si>
    <t>customer_id</t>
  </si>
  <si>
    <t>credit_score</t>
  </si>
  <si>
    <t>country</t>
  </si>
  <si>
    <t>gender</t>
  </si>
  <si>
    <t>age</t>
  </si>
  <si>
    <t>tenure</t>
  </si>
  <si>
    <t>balance</t>
  </si>
  <si>
    <t>credit_card</t>
  </si>
  <si>
    <t>active_member</t>
  </si>
  <si>
    <t>estimated_salary</t>
  </si>
  <si>
    <t>churn</t>
  </si>
  <si>
    <t>Date</t>
  </si>
  <si>
    <t>Time</t>
  </si>
  <si>
    <t>Cost</t>
  </si>
  <si>
    <t>France</t>
  </si>
  <si>
    <t>Female</t>
  </si>
  <si>
    <t>Spain</t>
  </si>
  <si>
    <t>Male</t>
  </si>
  <si>
    <t>Germany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</si>
  <si>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</si>
  <si>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</si>
  <si>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</si>
  <si>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</si>
  <si>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</si>
  <si>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</si>
  <si>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</si>
  <si>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</si>
  <si>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</si>
  <si>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</si>
  <si>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</si>
  <si>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</si>
  <si>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</si>
  <si>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Anova: Single Factor</t>
  </si>
  <si>
    <t>SUMMARY</t>
  </si>
  <si>
    <t>Groups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</si>
  <si>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</si>
  <si>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</si>
  <si>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</si>
  <si>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</si>
  <si>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</si>
  <si>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</si>
  <si>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</si>
  <si>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</si>
  <si>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</si>
  <si>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</si>
  <si>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</si>
  <si>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</si>
  <si>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Total</t>
  </si>
  <si>
    <t>CORRELATION</t>
  </si>
  <si>
    <t>Anova: Two-Factor With Replication</t>
  </si>
  <si>
    <t>Sample</t>
  </si>
  <si>
    <t>Columns</t>
  </si>
  <si>
    <t>Interaction</t>
  </si>
  <si>
    <t>Within</t>
  </si>
  <si>
    <t>Anova: Two-Factor Without Replication</t>
  </si>
  <si>
    <t>Rows</t>
  </si>
  <si>
    <t>Error</t>
  </si>
  <si>
    <t>COVARIANCE</t>
  </si>
  <si>
    <t>DESCRIPTIVE STATISTICS</t>
  </si>
  <si>
    <t>F-Test Two-Sample for Variances</t>
  </si>
  <si>
    <t>Observations</t>
  </si>
  <si>
    <t>P(F&lt;=f) one-tail</t>
  </si>
  <si>
    <t>F Critical one-tail</t>
  </si>
  <si>
    <t>Bin</t>
  </si>
  <si>
    <t>More</t>
  </si>
  <si>
    <t>Frequency</t>
  </si>
  <si>
    <t>Cumulative %</t>
  </si>
  <si>
    <t>SUMMARY OUTPUT</t>
  </si>
  <si>
    <t>Regression Statistics</t>
  </si>
  <si>
    <t>Multiple R</t>
  </si>
  <si>
    <t>R Square</t>
  </si>
  <si>
    <t>Adjusted R Square</t>
  </si>
  <si>
    <t>Regression</t>
  </si>
  <si>
    <t>Residual</t>
  </si>
  <si>
    <t>Intercept</t>
  </si>
  <si>
    <t>Significance F</t>
  </si>
  <si>
    <t>Coefficients</t>
  </si>
  <si>
    <t>t Stat</t>
  </si>
  <si>
    <t>Lower 95%</t>
  </si>
  <si>
    <t>Upper 95%</t>
  </si>
  <si>
    <t>Lower 95.0%</t>
  </si>
  <si>
    <t>Upper 95.0%</t>
  </si>
  <si>
    <t>Confidence Level(95.0%)</t>
  </si>
  <si>
    <t>t-Test: Paired Two Sample for Means</t>
  </si>
  <si>
    <t>Pearson Correlation</t>
  </si>
  <si>
    <t>Hypothesized Mean Difference</t>
  </si>
  <si>
    <t>P(T&lt;=t) one-tail</t>
  </si>
  <si>
    <t>t Critical one-tail</t>
  </si>
  <si>
    <t>P(T&lt;=t) two-tail</t>
  </si>
  <si>
    <t>t Critical two-tail</t>
  </si>
  <si>
    <t>t-Test: Two-Sample Assuming Equal Variances</t>
  </si>
  <si>
    <t>Pooled Variance</t>
  </si>
  <si>
    <t>t-Test: Two-Sample Assuming Unequal Variances</t>
  </si>
  <si>
    <t>z-Test: Two Sample for Means</t>
  </si>
  <si>
    <t>Known Variance</t>
  </si>
  <si>
    <t>z</t>
  </si>
  <si>
    <t>P(Z&lt;=z) one-tail</t>
  </si>
  <si>
    <t>z Critical one-tail</t>
  </si>
  <si>
    <t>P(Z&lt;=z) two-tail</t>
  </si>
  <si>
    <t>z Critical two-tail</t>
  </si>
  <si>
    <t>Method</t>
  </si>
  <si>
    <t>Male1</t>
  </si>
  <si>
    <t>Male2</t>
  </si>
  <si>
    <t>Male3</t>
  </si>
  <si>
    <t>Female1</t>
  </si>
  <si>
    <t>Female2</t>
  </si>
  <si>
    <t>Female3</t>
  </si>
  <si>
    <t>A</t>
  </si>
  <si>
    <t>B</t>
  </si>
  <si>
    <t>C</t>
  </si>
  <si>
    <t>D</t>
  </si>
  <si>
    <t>E</t>
  </si>
  <si>
    <t>Row Labels</t>
  </si>
  <si>
    <t>Column Labels</t>
  </si>
  <si>
    <t>Count of customer_id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</si>
</sst>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;@"/>
  </numFmts>
  <fonts count="6" x14ac:knownFonts="1">
    <font>
      <sz val="11"/>
      <color theme="1"/>
      <name val="Calibri"/>
      <family val="2"/>
      <scheme val="minor"/>
    </font>
    <font>
      <b/>
      <i/>
      <sz val="11"/>
      <color theme="7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4"/>
      <color theme="1"/>
      <name val="Arial Black"/>
      <family val="2"/>
    </font>
    <font>
      <sz val="11"/>
      <color theme="1"/>
      <name val="Arial Black"/>
      <family val="2"/>
    </font>
  </fonts>
  <fills count="2">
    <fill>
      <patternFill patternType="none"/>
    </fill>
    <fill>
      <patternFill patternType="gray125"/>
    </fill>
  </fills>
  <borders count="34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18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18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/>
    <xf numFmtId="0" fontId="0" fillId="0" borderId="5" xfId="0" applyBorder="1"/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7" xfId="0" applyFont="1" applyBorder="1" applyAlignment="1">
      <alignment horizontal="centerContinuous"/>
    </xf>
    <xf numFmtId="0" fontId="0" fillId="0" borderId="8" xfId="0" applyBorder="1"/>
    <xf numFmtId="0" fontId="0" fillId="0" borderId="12" xfId="0" applyBorder="1"/>
    <xf numFmtId="0" fontId="0" fillId="0" borderId="13" xfId="0" applyBorder="1"/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0" fillId="0" borderId="3" xfId="0" applyBorder="1"/>
    <xf numFmtId="0" fontId="0" fillId="0" borderId="14" xfId="0" applyBorder="1"/>
    <xf numFmtId="0" fontId="0" fillId="0" borderId="1" xfId="0" applyBorder="1"/>
    <xf numFmtId="10" fontId="0" fillId="0" borderId="0" xfId="0" applyNumberFormat="1"/>
    <xf numFmtId="10" fontId="0" fillId="0" borderId="5" xfId="0" applyNumberFormat="1" applyBorder="1"/>
    <xf numFmtId="0" fontId="0" fillId="0" borderId="18" xfId="0" applyBorder="1"/>
    <xf numFmtId="0" fontId="0" fillId="0" borderId="4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2" fillId="0" borderId="31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Border="1"/>
    <xf numFmtId="0" fontId="0" fillId="0" borderId="0" xfId="0" applyFill="1" applyBorder="1" applyAlignment="1"/>
    <xf numFmtId="0" fontId="3" fillId="0" borderId="15" xfId="0" applyFont="1" applyFill="1" applyBorder="1" applyAlignment="1">
      <alignment horizontal="right"/>
    </xf>
    <xf numFmtId="0" fontId="0" fillId="0" borderId="5" xfId="0" applyFill="1" applyBorder="1" applyAlignment="1"/>
    <xf numFmtId="0" fontId="2" fillId="0" borderId="7" xfId="0" applyFont="1" applyFill="1" applyBorder="1" applyAlignment="1">
      <alignment horizontal="center"/>
    </xf>
    <xf numFmtId="0" fontId="3" fillId="0" borderId="33" xfId="0" applyFont="1" applyFill="1" applyBorder="1" applyAlignment="1">
      <alignment horizontal="right"/>
    </xf>
    <xf numFmtId="0" fontId="0" fillId="0" borderId="21" xfId="0" applyFill="1" applyBorder="1" applyAlignment="1"/>
    <xf numFmtId="0" fontId="0" fillId="0" borderId="20" xfId="0" pivotButton="1" applyBorder="1"/>
    <xf numFmtId="0" fontId="0" fillId="0" borderId="0" xfId="0" pivotButton="1" applyBorder="1"/>
    <xf numFmtId="0" fontId="0" fillId="0" borderId="20" xfId="0" applyBorder="1" applyAlignment="1">
      <alignment horizontal="left"/>
    </xf>
    <xf numFmtId="0" fontId="0" fillId="0" borderId="0" xfId="0" applyNumberFormat="1" applyBorder="1"/>
    <xf numFmtId="0" fontId="2" fillId="0" borderId="24" xfId="0" applyFont="1" applyFill="1" applyBorder="1" applyAlignment="1">
      <alignment horizontal="center"/>
    </xf>
    <xf numFmtId="0" fontId="0" fillId="0" borderId="20" xfId="0" applyFill="1" applyBorder="1" applyAlignment="1"/>
    <xf numFmtId="0" fontId="0" fillId="0" borderId="22" xfId="0" applyFill="1" applyBorder="1" applyAlignment="1"/>
    <xf numFmtId="0" fontId="4" fillId="0" borderId="0" xfId="0" applyFont="1" applyBorder="1"/>
    <xf numFmtId="0" fontId="5" fillId="0" borderId="0" xfId="0" applyFont="1" applyBorder="1"/>
    <xf numFmtId="0" fontId="4" fillId="0" borderId="4" xfId="0" applyFont="1" applyBorder="1"/>
    <xf numFmtId="0" fontId="5" fillId="0" borderId="4" xfId="0" applyFont="1" applyBorder="1"/>
    <xf numFmtId="0" fontId="5" fillId="0" borderId="0" xfId="0" applyFont="1"/>
    <xf numFmtId="0" fontId="5" fillId="0" borderId="21" xfId="0" applyFont="1" applyBorder="1"/>
    <xf numFmtId="0" fontId="5" fillId="0" borderId="20" xfId="0" applyFont="1" applyBorder="1"/>
    <xf numFmtId="0" fontId="4" fillId="0" borderId="20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8" xfId="0" applyFont="1" applyBorder="1"/>
  </cellXfs>
  <cellStyles count="1">
    <cellStyle name="Normal" xfId="0" builtinId="0"/>
  </cellStyles>
  <dxfs count="11"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yyyy/mm/dd;@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7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Histogram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2007988799796752"/>
          <c:y val="0.24263618787672012"/>
          <c:w val="0.54879164680421988"/>
          <c:h val="0.58843911762655776"/>
        </c:manualLayout>
      </c:layout>
      <c:barChart>
        <c:barDir val="col"/>
        <c:grouping val="clustered"/>
        <c:varyColors val="0"/>
        <c:ser>
          <c:idx val="0"/>
          <c:order val="0"/>
          <c:tx>
            <c:v>Frequency</c:v>
          </c:tx>
          <c:invertIfNegative val="0"/>
          <c:cat>
            <c:strRef>
              <c:f>Sheet1!$AQ$4:$AQ$7</c:f>
              <c:strCache>
                <c:ptCount val="4"/>
                <c:pt idx="0">
                  <c:v>More</c:v>
                </c:pt>
                <c:pt idx="1">
                  <c:v>41.33333333</c:v>
                </c:pt>
                <c:pt idx="2">
                  <c:v>32.66666667</c:v>
                </c:pt>
                <c:pt idx="3">
                  <c:v>24</c:v>
                </c:pt>
              </c:strCache>
            </c:strRef>
          </c:cat>
          <c:val>
            <c:numRef>
              <c:f>Sheet1!$AR$4:$AR$7</c:f>
              <c:numCache>
                <c:formatCode>General</c:formatCode>
                <c:ptCount val="4"/>
                <c:pt idx="0">
                  <c:v>6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FD-4D10-B7E6-CEDF5DAD45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5375600"/>
        <c:axId val="1107923184"/>
      </c:barChart>
      <c:lineChart>
        <c:grouping val="standard"/>
        <c:varyColors val="0"/>
        <c:ser>
          <c:idx val="1"/>
          <c:order val="1"/>
          <c:tx>
            <c:v>Cumulative %</c:v>
          </c:tx>
          <c:cat>
            <c:strRef>
              <c:f>Sheet1!$AQ$4:$AQ$7</c:f>
              <c:strCache>
                <c:ptCount val="4"/>
                <c:pt idx="0">
                  <c:v>More</c:v>
                </c:pt>
                <c:pt idx="1">
                  <c:v>41.33333333</c:v>
                </c:pt>
                <c:pt idx="2">
                  <c:v>32.66666667</c:v>
                </c:pt>
                <c:pt idx="3">
                  <c:v>24</c:v>
                </c:pt>
              </c:strCache>
            </c:strRef>
          </c:cat>
          <c:val>
            <c:numRef>
              <c:f>Sheet1!$AS$4:$AS$7</c:f>
              <c:numCache>
                <c:formatCode>0.00%</c:formatCode>
                <c:ptCount val="4"/>
                <c:pt idx="0">
                  <c:v>0.4</c:v>
                </c:pt>
                <c:pt idx="1">
                  <c:v>0.66666666666666663</c:v>
                </c:pt>
                <c:pt idx="2">
                  <c:v>0.8666666666666667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FD-4D10-B7E6-CEDF5DAD45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6637712"/>
        <c:axId val="1107920304"/>
      </c:lineChart>
      <c:catAx>
        <c:axId val="1105375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Bin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07923184"/>
        <c:crosses val="autoZero"/>
        <c:auto val="1"/>
        <c:lblAlgn val="ctr"/>
        <c:lblOffset val="100"/>
        <c:noMultiLvlLbl val="0"/>
      </c:catAx>
      <c:valAx>
        <c:axId val="110792318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Frequency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05375600"/>
        <c:crosses val="autoZero"/>
        <c:crossBetween val="between"/>
      </c:valAx>
      <c:valAx>
        <c:axId val="1107920304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crossAx val="1116637712"/>
        <c:crosses val="max"/>
        <c:crossBetween val="between"/>
      </c:valAx>
      <c:catAx>
        <c:axId val="111663771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07920304"/>
        <c:crosses val="autoZero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457199</xdr:colOff>
      <xdr:row>9</xdr:row>
      <xdr:rowOff>66675</xdr:rowOff>
    </xdr:from>
    <xdr:to>
      <xdr:col>45</xdr:col>
      <xdr:colOff>333374</xdr:colOff>
      <xdr:row>23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3B19B02-007D-8A91-2662-3C870ED889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TS" refreshedDate="46179.430507986108" createdVersion="8" refreshedVersion="8" minRefreshableVersion="3" recordCount="15" xr:uid="{6812A9C5-218B-4148-B069-EA9E80E44B3B}">
  <cacheSource type="worksheet">
    <worksheetSource name="Table13"/>
  </cacheSource>
  <cacheFields count="15">
    <cacheField name="SNO" numFmtId="0">
      <sharedItems containsSemiMixedTypes="0" containsString="0" containsNumber="1" containsInteger="1" minValue="1" maxValue="15"/>
    </cacheField>
    <cacheField name="customer_id" numFmtId="0">
      <sharedItems containsSemiMixedTypes="0" containsString="0" containsNumber="1" containsInteger="1" minValue="15574012" maxValue="15792365"/>
    </cacheField>
    <cacheField name="credit_score" numFmtId="0">
      <sharedItems containsSemiMixedTypes="0" containsString="0" containsNumber="1" containsInteger="1" minValue="376" maxValue="850"/>
    </cacheField>
    <cacheField name="country" numFmtId="0">
      <sharedItems count="3">
        <s v="Germany"/>
        <s v="Spain"/>
        <s v="France"/>
      </sharedItems>
    </cacheField>
    <cacheField name="gender" numFmtId="0">
      <sharedItems count="2">
        <s v="Male"/>
        <s v="Female"/>
      </sharedItems>
    </cacheField>
    <cacheField name="age" numFmtId="0">
      <sharedItems containsSemiMixedTypes="0" containsString="0" containsNumber="1" containsInteger="1" minValue="24" maxValue="50"/>
    </cacheField>
    <cacheField name="tenure" numFmtId="0">
      <sharedItems containsSemiMixedTypes="0" containsString="0" containsNumber="1" containsInteger="1" minValue="1" maxValue="10"/>
    </cacheField>
    <cacheField name="balance" numFmtId="0">
      <sharedItems containsSemiMixedTypes="0" containsString="0" containsNumber="1" containsInteger="1" minValue="1000" maxValue="85000" count="14">
        <n v="1000"/>
        <n v="20000"/>
        <n v="30000"/>
        <n v="40000"/>
        <n v="50000"/>
        <n v="60000"/>
        <n v="65000"/>
        <n v="70000"/>
        <n v="80000"/>
        <n v="85000"/>
        <n v="7400"/>
        <n v="64964"/>
        <n v="34978"/>
        <n v="52908"/>
      </sharedItems>
    </cacheField>
    <cacheField name="credit_card" numFmtId="0">
      <sharedItems containsSemiMixedTypes="0" containsString="0" containsNumber="1" containsInteger="1" minValue="0" maxValue="1"/>
    </cacheField>
    <cacheField name="active_member" numFmtId="0">
      <sharedItems containsSemiMixedTypes="0" containsString="0" containsNumber="1" containsInteger="1" minValue="0" maxValue="1"/>
    </cacheField>
    <cacheField name="estimated_salary" numFmtId="0">
      <sharedItems containsSemiMixedTypes="0" containsString="0" containsNumber="1" minValue="10062.799999999999" maxValue="190857.79"/>
    </cacheField>
    <cacheField name="churn" numFmtId="0">
      <sharedItems containsSemiMixedTypes="0" containsString="0" containsNumber="1" containsInteger="1" minValue="0" maxValue="1"/>
    </cacheField>
    <cacheField name="Date" numFmtId="164">
      <sharedItems containsSemiMixedTypes="0" containsNonDate="0" containsDate="1" containsString="0" minDate="2026-06-04T00:00:00" maxDate="2026-06-19T00:00:00"/>
    </cacheField>
    <cacheField name="Time" numFmtId="0">
      <sharedItems containsSemiMixedTypes="0" containsString="0" containsNumber="1" minValue="6.25E-2" maxValue="0.51041666666666663"/>
    </cacheField>
    <cacheField name="Cost" numFmtId="0">
      <sharedItems containsSemiMixedTypes="0" containsString="0" containsNumber="1" containsInteger="1" minValue="893" maxValue="973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n v="1"/>
    <n v="15634602"/>
    <n v="619"/>
    <x v="0"/>
    <x v="0"/>
    <n v="42"/>
    <n v="2"/>
    <x v="0"/>
    <n v="1"/>
    <n v="1"/>
    <n v="101348.88"/>
    <n v="1"/>
    <d v="2026-06-04T00:00:00"/>
    <n v="0.44791666666666669"/>
    <n v="45753"/>
  </r>
  <r>
    <n v="2"/>
    <n v="15647311"/>
    <n v="608"/>
    <x v="1"/>
    <x v="1"/>
    <n v="41"/>
    <n v="1"/>
    <x v="1"/>
    <n v="0"/>
    <n v="1"/>
    <n v="112542.58"/>
    <n v="0"/>
    <d v="2026-06-05T00:00:00"/>
    <n v="0.48958333333333331"/>
    <n v="97356"/>
  </r>
  <r>
    <n v="3"/>
    <n v="15619304"/>
    <n v="502"/>
    <x v="2"/>
    <x v="1"/>
    <n v="24"/>
    <n v="8"/>
    <x v="2"/>
    <n v="1"/>
    <n v="0"/>
    <n v="113931.57"/>
    <n v="1"/>
    <d v="2026-06-06T00:00:00"/>
    <n v="0.49652777777777779"/>
    <n v="4564"/>
  </r>
  <r>
    <n v="4"/>
    <n v="15701354"/>
    <n v="699"/>
    <x v="2"/>
    <x v="1"/>
    <n v="39"/>
    <n v="1"/>
    <x v="3"/>
    <n v="0"/>
    <n v="0"/>
    <n v="93826.63"/>
    <n v="0"/>
    <d v="2026-06-07T00:00:00"/>
    <n v="0.51041666666666663"/>
    <n v="7736"/>
  </r>
  <r>
    <n v="5"/>
    <n v="15737888"/>
    <n v="850"/>
    <x v="1"/>
    <x v="1"/>
    <n v="43"/>
    <n v="2"/>
    <x v="4"/>
    <n v="1"/>
    <n v="1"/>
    <n v="79084.100000000006"/>
    <n v="0"/>
    <d v="2026-06-08T00:00:00"/>
    <n v="6.25E-2"/>
    <n v="8365"/>
  </r>
  <r>
    <n v="6"/>
    <n v="15574012"/>
    <n v="645"/>
    <x v="1"/>
    <x v="0"/>
    <n v="44"/>
    <n v="8"/>
    <x v="3"/>
    <n v="1"/>
    <n v="0"/>
    <n v="149756.71"/>
    <n v="1"/>
    <d v="2026-06-09T00:00:00"/>
    <n v="7.6388888888888895E-2"/>
    <n v="893"/>
  </r>
  <r>
    <n v="7"/>
    <n v="15592531"/>
    <n v="822"/>
    <x v="2"/>
    <x v="0"/>
    <n v="50"/>
    <n v="7"/>
    <x v="5"/>
    <n v="1"/>
    <n v="1"/>
    <n v="10062.799999999999"/>
    <n v="0"/>
    <d v="2026-06-10T00:00:00"/>
    <n v="9.2361111111111116E-2"/>
    <n v="9034"/>
  </r>
  <r>
    <n v="8"/>
    <n v="15656148"/>
    <n v="376"/>
    <x v="0"/>
    <x v="1"/>
    <n v="29"/>
    <n v="4"/>
    <x v="6"/>
    <n v="1"/>
    <n v="0"/>
    <n v="119346.88"/>
    <n v="1"/>
    <d v="2026-06-11T00:00:00"/>
    <n v="0.11805555555555555"/>
    <n v="3426"/>
  </r>
  <r>
    <n v="9"/>
    <n v="15792365"/>
    <n v="501"/>
    <x v="2"/>
    <x v="0"/>
    <n v="44"/>
    <n v="4"/>
    <x v="7"/>
    <n v="0"/>
    <n v="1"/>
    <n v="74940.5"/>
    <n v="0"/>
    <d v="2026-06-12T00:00:00"/>
    <n v="0.13194444444444445"/>
    <n v="28956"/>
  </r>
  <r>
    <n v="10"/>
    <n v="15592389"/>
    <n v="684"/>
    <x v="2"/>
    <x v="0"/>
    <n v="27"/>
    <n v="2"/>
    <x v="8"/>
    <n v="1"/>
    <n v="1"/>
    <n v="71725.73"/>
    <n v="0"/>
    <d v="2026-06-13T00:00:00"/>
    <n v="0.14583333333333334"/>
    <n v="34876"/>
  </r>
  <r>
    <n v="11"/>
    <n v="15767821"/>
    <n v="528"/>
    <x v="2"/>
    <x v="0"/>
    <n v="31"/>
    <n v="6"/>
    <x v="9"/>
    <n v="0"/>
    <n v="0"/>
    <n v="80181.119999999995"/>
    <n v="0"/>
    <d v="2026-06-14T00:00:00"/>
    <n v="0.15972222222222221"/>
    <n v="59876"/>
  </r>
  <r>
    <n v="12"/>
    <n v="15737173"/>
    <n v="497"/>
    <x v="1"/>
    <x v="0"/>
    <n v="24"/>
    <n v="3"/>
    <x v="10"/>
    <n v="1"/>
    <n v="0"/>
    <n v="76390.009999999995"/>
    <n v="0"/>
    <d v="2026-06-15T00:00:00"/>
    <n v="0.1736111111111111"/>
    <n v="9347"/>
  </r>
  <r>
    <n v="13"/>
    <n v="15632264"/>
    <n v="476"/>
    <x v="2"/>
    <x v="1"/>
    <n v="34"/>
    <n v="10"/>
    <x v="11"/>
    <n v="1"/>
    <n v="0"/>
    <n v="26260.98"/>
    <n v="0"/>
    <d v="2026-06-16T00:00:00"/>
    <n v="0.1875"/>
    <n v="26715"/>
  </r>
  <r>
    <n v="14"/>
    <n v="15691483"/>
    <n v="549"/>
    <x v="2"/>
    <x v="1"/>
    <n v="45"/>
    <n v="5"/>
    <x v="12"/>
    <n v="0"/>
    <n v="0"/>
    <n v="190857.79"/>
    <n v="0"/>
    <d v="2026-06-17T00:00:00"/>
    <n v="0.2013888888888889"/>
    <n v="63456"/>
  </r>
  <r>
    <n v="15"/>
    <n v="15600882"/>
    <n v="635"/>
    <x v="1"/>
    <x v="1"/>
    <n v="35"/>
    <n v="7"/>
    <x v="13"/>
    <n v="1"/>
    <n v="1"/>
    <n v="65951.649999999994"/>
    <n v="0"/>
    <d v="2026-06-18T00:00:00"/>
    <n v="0.22916666666666666"/>
    <n v="2657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416F17-9EBB-42CA-98F7-0A4262899E1A}" name="PivotTable10" cacheId="2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K59:M63" firstHeaderRow="1" firstDataRow="2" firstDataCol="1"/>
  <pivotFields count="15">
    <pivotField showAll="0"/>
    <pivotField dataField="1" showAll="0"/>
    <pivotField showAll="0"/>
    <pivotField axis="axisRow" showAll="0">
      <items count="4">
        <item x="2"/>
        <item x="0"/>
        <item x="1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</pivotFields>
  <rowFields count="1">
    <field x="3"/>
  </rowFields>
  <rowItems count="3">
    <i>
      <x/>
    </i>
    <i>
      <x v="1"/>
    </i>
    <i>
      <x v="2"/>
    </i>
  </rowItems>
  <colFields count="1">
    <field x="4"/>
  </colFields>
  <colItems count="2">
    <i>
      <x/>
    </i>
    <i>
      <x v="1"/>
    </i>
  </colItems>
  <dataFields count="1">
    <dataField name="Count of customer_id" fld="1" subtotal="count" baseField="3" baseItem="0"/>
  </dataFields>
  <formats count="8">
    <format dxfId="7">
      <pivotArea type="all" dataOnly="0" outline="0" fieldPosition="0"/>
    </format>
    <format dxfId="6">
      <pivotArea outline="0" collapsedLevelsAreSubtotals="1" fieldPosition="0"/>
    </format>
    <format dxfId="5">
      <pivotArea type="origin" dataOnly="0" labelOnly="1" outline="0" fieldPosition="0"/>
    </format>
    <format dxfId="4">
      <pivotArea field="4" type="button" dataOnly="0" labelOnly="1" outline="0" axis="axisCol" fieldPosition="0"/>
    </format>
    <format dxfId="3">
      <pivotArea type="topRight" dataOnly="0" labelOnly="1" outline="0" fieldPosition="0"/>
    </format>
    <format dxfId="2">
      <pivotArea field="3" type="button" dataOnly="0" labelOnly="1" outline="0" axis="axisRow" fieldPosition="0"/>
    </format>
    <format dxfId="1">
      <pivotArea dataOnly="0" labelOnly="1" fieldPosition="0">
        <references count="1">
          <reference field="3" count="0"/>
        </references>
      </pivotArea>
    </format>
    <format dxfId="0">
      <pivotArea dataOnly="0" labelOnly="1" fieldPosition="0">
        <references count="1">
          <reference field="4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F920F8-14A4-45A4-8AE0-BFBB803219B8}" name="Table1" displayName="Table1" ref="C4:Q19" totalsRowShown="0" headerRowDxfId="10" headerRowBorderDxfId="9" dataCellStyle="Normal">
  <autoFilter ref="C4:Q19" xr:uid="{48F920F8-14A4-45A4-8AE0-BFBB803219B8}"/>
  <tableColumns count="15">
    <tableColumn id="1" xr3:uid="{D6079AC7-C7A3-40C5-B47B-7BCDB59F5ADA}" name="SNO" dataCellStyle="Normal"/>
    <tableColumn id="2" xr3:uid="{D01DF06C-10B4-4938-B7D5-1302ACE63F9B}" name="customer_id" dataCellStyle="Normal"/>
    <tableColumn id="3" xr3:uid="{E5037C35-1B09-4DFE-9E37-FD533FF1258F}" name="credit_score" dataCellStyle="Normal"/>
    <tableColumn id="4" xr3:uid="{008ED9CB-E0F8-4B1E-8B36-E3B9E9CC0D6D}" name="country" dataCellStyle="Normal"/>
    <tableColumn id="5" xr3:uid="{2BE7563C-92A8-424D-9A32-4560B95200EB}" name="gender" dataCellStyle="Normal"/>
    <tableColumn id="6" xr3:uid="{C071CD8C-3DE2-4EAA-A670-301A93DEBDF9}" name="age" dataCellStyle="Normal"/>
    <tableColumn id="7" xr3:uid="{C5B1AA24-AC46-44B9-938B-BC55E4F45AF8}" name="tenure" dataCellStyle="Normal"/>
    <tableColumn id="8" xr3:uid="{52E5C7B9-3A80-4D47-8C33-DFFA275C9698}" name="balance" dataCellStyle="Normal"/>
    <tableColumn id="9" xr3:uid="{5CEE8391-8147-4641-AF50-FB814B0259CD}" name="credit_card" dataCellStyle="Normal"/>
    <tableColumn id="10" xr3:uid="{A5C4686D-D843-49B4-975D-1121C9DFD769}" name="active_member" dataCellStyle="Normal"/>
    <tableColumn id="11" xr3:uid="{17484D3C-55C7-4885-B9DC-7116C041975F}" name="estimated_salary" dataCellStyle="Normal"/>
    <tableColumn id="12" xr3:uid="{39B5E587-F051-4B3E-9847-4C81C1EEF4CD}" name="churn" dataCellStyle="Normal"/>
    <tableColumn id="13" xr3:uid="{637B5CC9-B0C0-4C5D-88AF-F14169FD2FEF}" name="Date" dataDxfId="8" dataCellStyle="Normal"/>
    <tableColumn id="14" xr3:uid="{E163EB74-ECF1-47B0-BD61-562E3C005960}" name="Time" dataCellStyle="Normal"/>
    <tableColumn id="15" xr3:uid="{95FB0A3C-9B0D-4B76-BE3B-2302255B2AE2}" name="Cost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F83FA-2B41-421C-8C0F-D758E477F569}">
  <dimension ref="A1:AV88"/>
  <sheetViews>
    <sheetView tabSelected="1" zoomScale="85" zoomScaleNormal="85" workbookViewId="0">
      <selection activeCell="Y39" sqref="Y39"/>
    </sheetView>
  </sheetViews>
  <sheetFormatPr defaultRowHeight="15" x14ac:dyDescent="0.25"/>
  <cols>
    <col min="2" max="2" width="15.28515625" customWidth="1"/>
    <col min="3" max="3" width="14.42578125" customWidth="1"/>
    <col min="4" max="4" width="15.28515625" customWidth="1"/>
    <col min="8" max="8" width="14.85546875" customWidth="1"/>
    <col min="9" max="9" width="13" customWidth="1"/>
    <col min="10" max="10" width="19" customWidth="1"/>
    <col min="11" max="11" width="20.28515625" bestFit="1" customWidth="1"/>
    <col min="12" max="12" width="16.28515625" bestFit="1" customWidth="1"/>
    <col min="13" max="13" width="5.5703125" bestFit="1" customWidth="1"/>
    <col min="15" max="15" width="12.28515625" customWidth="1"/>
    <col min="19" max="19" width="15.28515625" customWidth="1"/>
    <col min="20" max="20" width="13.42578125" customWidth="1"/>
    <col min="21" max="21" width="18.5703125" customWidth="1"/>
    <col min="22" max="22" width="13.85546875" customWidth="1"/>
    <col min="23" max="23" width="11" customWidth="1"/>
    <col min="24" max="24" width="13.42578125" customWidth="1"/>
    <col min="25" max="25" width="13" customWidth="1"/>
    <col min="27" max="27" width="15.140625" customWidth="1"/>
    <col min="39" max="39" width="16.28515625" customWidth="1"/>
    <col min="43" max="43" width="12.5703125" customWidth="1"/>
    <col min="44" max="44" width="10.5703125" customWidth="1"/>
    <col min="45" max="45" width="12.7109375" customWidth="1"/>
    <col min="46" max="46" width="13.140625" customWidth="1"/>
    <col min="48" max="48" width="12.42578125" customWidth="1"/>
    <col min="51" max="51" width="16.7109375" customWidth="1"/>
    <col min="53" max="53" width="12" customWidth="1"/>
  </cols>
  <sheetData>
    <row r="1" spans="3:46" ht="15.75" thickBot="1" x14ac:dyDescent="0.3"/>
    <row r="2" spans="3:46" ht="15.75" thickBot="1" x14ac:dyDescent="0.3">
      <c r="AM2" s="19"/>
      <c r="AN2" s="20"/>
      <c r="AO2" s="20"/>
      <c r="AP2" s="20"/>
      <c r="AQ2" s="20"/>
      <c r="AR2" s="20"/>
      <c r="AS2" s="20"/>
      <c r="AT2" s="21"/>
    </row>
    <row r="3" spans="3:46" ht="18.75" x14ac:dyDescent="0.4">
      <c r="S3" s="19"/>
      <c r="T3" s="54" t="s">
        <v>49</v>
      </c>
      <c r="U3" s="20"/>
      <c r="V3" s="20"/>
      <c r="W3" s="20"/>
      <c r="X3" s="20"/>
      <c r="Y3" s="20"/>
      <c r="Z3" s="21"/>
      <c r="AB3" s="19"/>
      <c r="AC3" s="20"/>
      <c r="AD3" s="54" t="s">
        <v>58</v>
      </c>
      <c r="AE3" s="20"/>
      <c r="AF3" s="20"/>
      <c r="AG3" s="20"/>
      <c r="AH3" s="20"/>
      <c r="AI3" s="21"/>
      <c r="AM3" s="22"/>
      <c r="AN3" s="7" t="s">
        <v>64</v>
      </c>
      <c r="AO3" s="7" t="s">
        <v>66</v>
      </c>
      <c r="AP3" s="7" t="s">
        <v>67</v>
      </c>
      <c r="AQ3" s="7" t="s">
        <v>64</v>
      </c>
      <c r="AR3" s="7" t="s">
        <v>66</v>
      </c>
      <c r="AS3" s="7" t="s">
        <v>67</v>
      </c>
      <c r="AT3" s="23"/>
    </row>
    <row r="4" spans="3:46" x14ac:dyDescent="0.25">
      <c r="C4" s="1" t="s">
        <v>0</v>
      </c>
      <c r="D4" s="2" t="s">
        <v>1</v>
      </c>
      <c r="E4" s="2" t="s">
        <v>2</v>
      </c>
      <c r="F4" s="3" t="s">
        <v>3</v>
      </c>
      <c r="G4" s="3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  <c r="M4" s="2" t="s">
        <v>10</v>
      </c>
      <c r="N4" s="4" t="s">
        <v>11</v>
      </c>
      <c r="O4" s="2" t="s">
        <v>12</v>
      </c>
      <c r="P4" s="2" t="s">
        <v>13</v>
      </c>
      <c r="Q4" s="2" t="s">
        <v>14</v>
      </c>
      <c r="S4" s="22"/>
      <c r="Z4" s="23"/>
      <c r="AB4" s="22"/>
      <c r="AI4" s="23"/>
      <c r="AM4" s="22"/>
      <c r="AN4">
        <v>24</v>
      </c>
      <c r="AO4">
        <v>2</v>
      </c>
      <c r="AP4" s="17">
        <v>0.13333333333333333</v>
      </c>
      <c r="AQ4" t="s">
        <v>65</v>
      </c>
      <c r="AR4">
        <v>6</v>
      </c>
      <c r="AS4" s="17">
        <v>0.4</v>
      </c>
      <c r="AT4" s="23"/>
    </row>
    <row r="5" spans="3:46" x14ac:dyDescent="0.25">
      <c r="C5">
        <v>1</v>
      </c>
      <c r="D5">
        <v>15634602</v>
      </c>
      <c r="E5">
        <v>619</v>
      </c>
      <c r="F5" t="s">
        <v>19</v>
      </c>
      <c r="G5" t="s">
        <v>18</v>
      </c>
      <c r="H5">
        <v>42</v>
      </c>
      <c r="I5">
        <v>2</v>
      </c>
      <c r="J5">
        <v>1000</v>
      </c>
      <c r="K5">
        <v>1</v>
      </c>
      <c r="L5">
        <v>1</v>
      </c>
      <c r="M5">
        <v>101348.88</v>
      </c>
      <c r="N5">
        <v>1</v>
      </c>
      <c r="O5" s="35">
        <v>46177</v>
      </c>
      <c r="P5">
        <v>0.44791666666666669</v>
      </c>
      <c r="Q5">
        <v>45753</v>
      </c>
      <c r="S5" s="28"/>
      <c r="T5" s="9" t="s">
        <v>5</v>
      </c>
      <c r="U5" s="9" t="s">
        <v>6</v>
      </c>
      <c r="V5" s="9" t="s">
        <v>7</v>
      </c>
      <c r="W5" s="9" t="s">
        <v>8</v>
      </c>
      <c r="X5" s="9" t="s">
        <v>9</v>
      </c>
      <c r="Y5" s="9" t="s">
        <v>10</v>
      </c>
      <c r="Z5" s="29" t="s">
        <v>11</v>
      </c>
      <c r="AB5" s="33"/>
      <c r="AC5" s="6" t="s">
        <v>5</v>
      </c>
      <c r="AD5" s="6" t="s">
        <v>6</v>
      </c>
      <c r="AE5" s="6" t="s">
        <v>7</v>
      </c>
      <c r="AF5" s="6" t="s">
        <v>8</v>
      </c>
      <c r="AG5" s="6" t="s">
        <v>9</v>
      </c>
      <c r="AH5" s="6" t="s">
        <v>10</v>
      </c>
      <c r="AI5" s="34" t="s">
        <v>11</v>
      </c>
      <c r="AM5" s="22"/>
      <c r="AN5">
        <v>32.666666666666664</v>
      </c>
      <c r="AO5">
        <v>3</v>
      </c>
      <c r="AP5" s="17">
        <v>0.33333333333333331</v>
      </c>
      <c r="AQ5">
        <v>41.333333333333329</v>
      </c>
      <c r="AR5">
        <v>4</v>
      </c>
      <c r="AS5" s="17">
        <v>0.66666666666666663</v>
      </c>
      <c r="AT5" s="23"/>
    </row>
    <row r="6" spans="3:46" x14ac:dyDescent="0.25">
      <c r="C6">
        <v>2</v>
      </c>
      <c r="D6">
        <v>15647311</v>
      </c>
      <c r="E6">
        <v>608</v>
      </c>
      <c r="F6" t="s">
        <v>17</v>
      </c>
      <c r="G6" t="s">
        <v>16</v>
      </c>
      <c r="H6">
        <v>41</v>
      </c>
      <c r="I6">
        <v>1</v>
      </c>
      <c r="J6">
        <v>20000</v>
      </c>
      <c r="K6">
        <v>0</v>
      </c>
      <c r="L6">
        <v>1</v>
      </c>
      <c r="M6">
        <v>112542.58</v>
      </c>
      <c r="N6">
        <v>0</v>
      </c>
      <c r="O6" s="35">
        <v>46178</v>
      </c>
      <c r="P6">
        <v>0.48958333333333331</v>
      </c>
      <c r="Q6">
        <v>97356</v>
      </c>
      <c r="S6" s="28" t="s">
        <v>5</v>
      </c>
      <c r="T6" s="9">
        <v>1</v>
      </c>
      <c r="U6" s="9"/>
      <c r="V6" s="9"/>
      <c r="W6" s="9"/>
      <c r="X6" s="9"/>
      <c r="Y6" s="9"/>
      <c r="Z6" s="29"/>
      <c r="AB6" s="22" t="s">
        <v>5</v>
      </c>
      <c r="AC6">
        <f>VARP(Sheet1!$H$5:$H$19)</f>
        <v>64.16</v>
      </c>
      <c r="AI6" s="23"/>
      <c r="AM6" s="22"/>
      <c r="AN6">
        <v>41.333333333333329</v>
      </c>
      <c r="AO6">
        <v>4</v>
      </c>
      <c r="AP6" s="17">
        <v>0.6</v>
      </c>
      <c r="AQ6">
        <v>32.666666666666664</v>
      </c>
      <c r="AR6">
        <v>3</v>
      </c>
      <c r="AS6" s="17">
        <v>0.8666666666666667</v>
      </c>
      <c r="AT6" s="23"/>
    </row>
    <row r="7" spans="3:46" ht="15.75" thickBot="1" x14ac:dyDescent="0.3">
      <c r="C7">
        <v>3</v>
      </c>
      <c r="D7">
        <v>15619304</v>
      </c>
      <c r="E7">
        <v>502</v>
      </c>
      <c r="F7" t="s">
        <v>15</v>
      </c>
      <c r="G7" t="s">
        <v>16</v>
      </c>
      <c r="H7">
        <v>24</v>
      </c>
      <c r="I7">
        <v>8</v>
      </c>
      <c r="J7">
        <v>30000</v>
      </c>
      <c r="K7">
        <v>1</v>
      </c>
      <c r="L7">
        <v>0</v>
      </c>
      <c r="M7">
        <v>113931.57</v>
      </c>
      <c r="N7">
        <v>1</v>
      </c>
      <c r="O7" s="35">
        <v>46179</v>
      </c>
      <c r="P7">
        <v>0.49652777777777779</v>
      </c>
      <c r="Q7">
        <v>4564</v>
      </c>
      <c r="S7" s="28" t="s">
        <v>6</v>
      </c>
      <c r="T7" s="9">
        <v>-5.4027799000000001E-2</v>
      </c>
      <c r="U7" s="9">
        <v>1</v>
      </c>
      <c r="V7" s="9"/>
      <c r="W7" s="9"/>
      <c r="X7" s="9"/>
      <c r="Y7" s="9"/>
      <c r="Z7" s="29"/>
      <c r="AB7" s="22" t="s">
        <v>6</v>
      </c>
      <c r="AC7">
        <v>-1.2</v>
      </c>
      <c r="AD7">
        <f>VARP(Sheet1!$I$5:$I$19)</f>
        <v>7.6888888888888891</v>
      </c>
      <c r="AI7" s="23"/>
      <c r="AM7" s="22"/>
      <c r="AN7" s="5" t="s">
        <v>65</v>
      </c>
      <c r="AO7" s="5">
        <v>6</v>
      </c>
      <c r="AP7" s="18">
        <v>1</v>
      </c>
      <c r="AQ7" s="5">
        <v>24</v>
      </c>
      <c r="AR7" s="5">
        <v>2</v>
      </c>
      <c r="AS7" s="18">
        <v>1</v>
      </c>
      <c r="AT7" s="23"/>
    </row>
    <row r="8" spans="3:46" x14ac:dyDescent="0.25">
      <c r="C8">
        <v>4</v>
      </c>
      <c r="D8">
        <v>15701354</v>
      </c>
      <c r="E8">
        <v>699</v>
      </c>
      <c r="F8" t="s">
        <v>15</v>
      </c>
      <c r="G8" t="s">
        <v>16</v>
      </c>
      <c r="H8">
        <v>39</v>
      </c>
      <c r="I8">
        <v>1</v>
      </c>
      <c r="J8">
        <v>40000</v>
      </c>
      <c r="K8">
        <v>0</v>
      </c>
      <c r="L8">
        <v>0</v>
      </c>
      <c r="M8">
        <v>93826.63</v>
      </c>
      <c r="N8">
        <v>0</v>
      </c>
      <c r="O8" s="35">
        <v>46180</v>
      </c>
      <c r="P8">
        <v>0.51041666666666663</v>
      </c>
      <c r="Q8">
        <v>7736</v>
      </c>
      <c r="S8" s="28" t="s">
        <v>7</v>
      </c>
      <c r="T8" s="9">
        <v>-6.2251394000000002E-2</v>
      </c>
      <c r="U8" s="9">
        <v>0.29330875000000001</v>
      </c>
      <c r="V8" s="9">
        <v>1</v>
      </c>
      <c r="W8" s="9"/>
      <c r="X8" s="9"/>
      <c r="Y8" s="9"/>
      <c r="Z8" s="29"/>
      <c r="AB8" s="22" t="s">
        <v>7</v>
      </c>
      <c r="AC8">
        <v>-12122.266666666665</v>
      </c>
      <c r="AD8">
        <v>19772.400000000005</v>
      </c>
      <c r="AE8">
        <f>VARP(Sheet1!$J$5:$J$19)</f>
        <v>591024049.60000002</v>
      </c>
      <c r="AI8" s="23"/>
      <c r="AM8" s="22"/>
      <c r="AT8" s="23"/>
    </row>
    <row r="9" spans="3:46" x14ac:dyDescent="0.25">
      <c r="C9">
        <v>5</v>
      </c>
      <c r="D9">
        <v>15737888</v>
      </c>
      <c r="E9">
        <v>850</v>
      </c>
      <c r="F9" t="s">
        <v>17</v>
      </c>
      <c r="G9" t="s">
        <v>16</v>
      </c>
      <c r="H9">
        <v>43</v>
      </c>
      <c r="I9">
        <v>2</v>
      </c>
      <c r="J9">
        <v>50000</v>
      </c>
      <c r="K9">
        <v>1</v>
      </c>
      <c r="L9">
        <v>1</v>
      </c>
      <c r="M9">
        <v>79084.100000000006</v>
      </c>
      <c r="N9">
        <v>0</v>
      </c>
      <c r="O9" s="35">
        <v>46181</v>
      </c>
      <c r="P9">
        <v>6.25E-2</v>
      </c>
      <c r="Q9">
        <v>8365</v>
      </c>
      <c r="S9" s="28" t="s">
        <v>8</v>
      </c>
      <c r="T9" s="9">
        <v>-0.28248982099999997</v>
      </c>
      <c r="U9" s="9">
        <v>0.32300969000000002</v>
      </c>
      <c r="V9" s="9">
        <v>-9.4401179000000002E-2</v>
      </c>
      <c r="W9" s="9">
        <v>1</v>
      </c>
      <c r="X9" s="9"/>
      <c r="Y9" s="9"/>
      <c r="Z9" s="29"/>
      <c r="AB9" s="22" t="s">
        <v>8</v>
      </c>
      <c r="AC9">
        <v>-1.0666666666666667</v>
      </c>
      <c r="AD9">
        <v>0.42222222222222228</v>
      </c>
      <c r="AE9">
        <v>-1081.866666666667</v>
      </c>
      <c r="AF9">
        <f>VARP(Sheet1!$K$5:$K$19)</f>
        <v>0.22222222222222221</v>
      </c>
      <c r="AI9" s="23"/>
      <c r="AM9" s="22"/>
      <c r="AT9" s="23"/>
    </row>
    <row r="10" spans="3:46" x14ac:dyDescent="0.25">
      <c r="C10">
        <v>6</v>
      </c>
      <c r="D10">
        <v>15574012</v>
      </c>
      <c r="E10">
        <v>645</v>
      </c>
      <c r="F10" t="s">
        <v>17</v>
      </c>
      <c r="G10" t="s">
        <v>18</v>
      </c>
      <c r="H10">
        <v>44</v>
      </c>
      <c r="I10">
        <v>8</v>
      </c>
      <c r="J10">
        <v>40000</v>
      </c>
      <c r="K10">
        <v>1</v>
      </c>
      <c r="L10">
        <v>0</v>
      </c>
      <c r="M10">
        <v>149756.71</v>
      </c>
      <c r="N10">
        <v>1</v>
      </c>
      <c r="O10" s="35">
        <v>46182</v>
      </c>
      <c r="P10">
        <v>7.6388888888888895E-2</v>
      </c>
      <c r="Q10">
        <v>893</v>
      </c>
      <c r="S10" s="28" t="s">
        <v>9</v>
      </c>
      <c r="T10" s="9">
        <v>0.40706488000000002</v>
      </c>
      <c r="U10" s="9">
        <v>-0.369471357</v>
      </c>
      <c r="V10" s="9">
        <v>3.6597143999999998E-2</v>
      </c>
      <c r="W10" s="9">
        <v>9.4491117999999999E-2</v>
      </c>
      <c r="X10" s="9">
        <v>1</v>
      </c>
      <c r="Y10" s="9"/>
      <c r="Z10" s="29"/>
      <c r="AB10" s="22" t="s">
        <v>9</v>
      </c>
      <c r="AC10">
        <v>1.6266666666666665</v>
      </c>
      <c r="AD10">
        <v>-0.51111111111111118</v>
      </c>
      <c r="AE10">
        <v>443.86666666666667</v>
      </c>
      <c r="AF10">
        <v>2.222222222222222E-2</v>
      </c>
      <c r="AG10">
        <f>VARP(Sheet1!$L$5:$L$19)</f>
        <v>0.24888888888888888</v>
      </c>
      <c r="AI10" s="23"/>
      <c r="AM10" s="22"/>
      <c r="AT10" s="23"/>
    </row>
    <row r="11" spans="3:46" x14ac:dyDescent="0.25">
      <c r="C11">
        <v>7</v>
      </c>
      <c r="D11">
        <v>15592531</v>
      </c>
      <c r="E11">
        <v>822</v>
      </c>
      <c r="F11" t="s">
        <v>15</v>
      </c>
      <c r="G11" t="s">
        <v>18</v>
      </c>
      <c r="H11">
        <v>50</v>
      </c>
      <c r="I11">
        <v>7</v>
      </c>
      <c r="J11">
        <v>60000</v>
      </c>
      <c r="K11">
        <v>1</v>
      </c>
      <c r="L11">
        <v>1</v>
      </c>
      <c r="M11">
        <v>10062.799999999999</v>
      </c>
      <c r="N11">
        <v>0</v>
      </c>
      <c r="O11" s="35">
        <v>46183</v>
      </c>
      <c r="P11">
        <v>9.2361111111111116E-2</v>
      </c>
      <c r="Q11">
        <v>9034</v>
      </c>
      <c r="S11" s="28" t="s">
        <v>10</v>
      </c>
      <c r="T11" s="9">
        <v>5.5073717000000001E-2</v>
      </c>
      <c r="U11" s="9">
        <v>-0.178161443</v>
      </c>
      <c r="V11" s="9">
        <v>-0.36977297100000001</v>
      </c>
      <c r="W11" s="9">
        <v>-0.31844848799999997</v>
      </c>
      <c r="X11" s="9">
        <v>-0.37838218000000001</v>
      </c>
      <c r="Y11" s="9">
        <v>1</v>
      </c>
      <c r="Z11" s="29"/>
      <c r="AB11" s="22" t="s">
        <v>10</v>
      </c>
      <c r="AC11">
        <v>18992.501066666679</v>
      </c>
      <c r="AD11">
        <v>-21269.197777777783</v>
      </c>
      <c r="AE11">
        <v>-387028846.13066667</v>
      </c>
      <c r="AF11">
        <v>-6463.065111111111</v>
      </c>
      <c r="AG11">
        <v>-8127.1640444444447</v>
      </c>
      <c r="AH11">
        <f>VARP(Sheet1!$M$5:$M$19)</f>
        <v>1853579393.2035439</v>
      </c>
      <c r="AI11" s="23"/>
      <c r="AM11" s="22"/>
      <c r="AT11" s="23"/>
    </row>
    <row r="12" spans="3:46" ht="15.75" thickBot="1" x14ac:dyDescent="0.3">
      <c r="C12">
        <v>8</v>
      </c>
      <c r="D12">
        <v>15656148</v>
      </c>
      <c r="E12">
        <v>376</v>
      </c>
      <c r="F12" t="s">
        <v>19</v>
      </c>
      <c r="G12" t="s">
        <v>16</v>
      </c>
      <c r="H12">
        <v>29</v>
      </c>
      <c r="I12">
        <v>4</v>
      </c>
      <c r="J12">
        <v>65000</v>
      </c>
      <c r="K12">
        <v>1</v>
      </c>
      <c r="L12">
        <v>0</v>
      </c>
      <c r="M12">
        <v>119346.88</v>
      </c>
      <c r="N12">
        <v>1</v>
      </c>
      <c r="O12" s="35">
        <v>46184</v>
      </c>
      <c r="P12">
        <v>0.11805555555555555</v>
      </c>
      <c r="Q12">
        <v>3426</v>
      </c>
      <c r="S12" s="30" t="s">
        <v>11</v>
      </c>
      <c r="T12" s="31">
        <v>-0.15433177000000001</v>
      </c>
      <c r="U12" s="31">
        <v>0.181226046</v>
      </c>
      <c r="V12" s="31">
        <v>-0.316257811</v>
      </c>
      <c r="W12" s="31">
        <v>0.426401433</v>
      </c>
      <c r="X12" s="31">
        <v>-0.26189246300000002</v>
      </c>
      <c r="Y12" s="31">
        <v>0.42041032099999998</v>
      </c>
      <c r="Z12" s="32">
        <v>1</v>
      </c>
      <c r="AB12" s="24" t="s">
        <v>11</v>
      </c>
      <c r="AC12" s="5">
        <v>-0.54666666666666663</v>
      </c>
      <c r="AD12" s="5">
        <v>0.22222222222222232</v>
      </c>
      <c r="AE12" s="5">
        <v>-3399.9999999999995</v>
      </c>
      <c r="AF12" s="5">
        <v>8.8888888888888948E-2</v>
      </c>
      <c r="AG12" s="5">
        <v>-5.7777777777777789E-2</v>
      </c>
      <c r="AH12" s="5">
        <v>8004.1283555555565</v>
      </c>
      <c r="AI12" s="25">
        <f>VARP(Sheet1!$N$5:$N$19)</f>
        <v>0.19555555555555557</v>
      </c>
      <c r="AM12" s="22"/>
      <c r="AT12" s="23"/>
    </row>
    <row r="13" spans="3:46" x14ac:dyDescent="0.25">
      <c r="C13">
        <v>9</v>
      </c>
      <c r="D13">
        <v>15792365</v>
      </c>
      <c r="E13">
        <v>501</v>
      </c>
      <c r="F13" t="s">
        <v>15</v>
      </c>
      <c r="G13" t="s">
        <v>18</v>
      </c>
      <c r="H13">
        <v>44</v>
      </c>
      <c r="I13">
        <v>4</v>
      </c>
      <c r="J13">
        <v>70000</v>
      </c>
      <c r="K13">
        <v>0</v>
      </c>
      <c r="L13">
        <v>1</v>
      </c>
      <c r="M13">
        <v>74940.5</v>
      </c>
      <c r="N13">
        <v>0</v>
      </c>
      <c r="O13" s="35">
        <v>46185</v>
      </c>
      <c r="P13">
        <v>0.13194444444444445</v>
      </c>
      <c r="Q13">
        <v>28956</v>
      </c>
      <c r="AM13" s="22"/>
      <c r="AT13" s="23"/>
    </row>
    <row r="14" spans="3:46" x14ac:dyDescent="0.25">
      <c r="C14">
        <v>10</v>
      </c>
      <c r="D14">
        <v>15592389</v>
      </c>
      <c r="E14">
        <v>684</v>
      </c>
      <c r="F14" t="s">
        <v>15</v>
      </c>
      <c r="G14" t="s">
        <v>18</v>
      </c>
      <c r="H14">
        <v>27</v>
      </c>
      <c r="I14">
        <v>2</v>
      </c>
      <c r="J14">
        <v>80000</v>
      </c>
      <c r="K14">
        <v>1</v>
      </c>
      <c r="L14">
        <v>1</v>
      </c>
      <c r="M14">
        <v>71725.73</v>
      </c>
      <c r="N14">
        <v>0</v>
      </c>
      <c r="O14" s="35">
        <v>46186</v>
      </c>
      <c r="P14">
        <v>0.14583333333333334</v>
      </c>
      <c r="Q14">
        <v>34876</v>
      </c>
      <c r="AM14" s="22"/>
      <c r="AT14" s="23"/>
    </row>
    <row r="15" spans="3:46" x14ac:dyDescent="0.25">
      <c r="C15">
        <v>11</v>
      </c>
      <c r="D15">
        <v>15767821</v>
      </c>
      <c r="E15">
        <v>528</v>
      </c>
      <c r="F15" t="s">
        <v>15</v>
      </c>
      <c r="G15" t="s">
        <v>18</v>
      </c>
      <c r="H15">
        <v>31</v>
      </c>
      <c r="I15">
        <v>6</v>
      </c>
      <c r="J15">
        <v>85000</v>
      </c>
      <c r="K15">
        <v>0</v>
      </c>
      <c r="L15">
        <v>0</v>
      </c>
      <c r="M15">
        <v>80181.119999999995</v>
      </c>
      <c r="N15">
        <v>0</v>
      </c>
      <c r="O15" s="35">
        <v>46187</v>
      </c>
      <c r="P15">
        <v>0.15972222222222221</v>
      </c>
      <c r="Q15">
        <v>59876</v>
      </c>
      <c r="AC15">
        <f>COVAR(Table1[[#All],[tenure]],Table1[[#All],[age]])</f>
        <v>-1.2</v>
      </c>
      <c r="AM15" s="22"/>
      <c r="AT15" s="23"/>
    </row>
    <row r="16" spans="3:46" ht="15.75" thickBot="1" x14ac:dyDescent="0.3">
      <c r="C16">
        <v>12</v>
      </c>
      <c r="D16">
        <v>15737173</v>
      </c>
      <c r="E16">
        <v>497</v>
      </c>
      <c r="F16" t="s">
        <v>17</v>
      </c>
      <c r="G16" t="s">
        <v>18</v>
      </c>
      <c r="H16">
        <v>24</v>
      </c>
      <c r="I16">
        <v>3</v>
      </c>
      <c r="J16">
        <v>7400</v>
      </c>
      <c r="K16">
        <v>1</v>
      </c>
      <c r="L16">
        <v>0</v>
      </c>
      <c r="M16">
        <v>76390.009999999995</v>
      </c>
      <c r="N16">
        <v>0</v>
      </c>
      <c r="O16" s="35">
        <v>46188</v>
      </c>
      <c r="P16">
        <v>0.1736111111111111</v>
      </c>
      <c r="Q16">
        <v>9347</v>
      </c>
      <c r="AM16" s="22"/>
      <c r="AT16" s="23"/>
    </row>
    <row r="17" spans="2:48" ht="18.75" x14ac:dyDescent="0.4">
      <c r="C17">
        <v>13</v>
      </c>
      <c r="D17">
        <v>15632264</v>
      </c>
      <c r="E17">
        <v>476</v>
      </c>
      <c r="F17" t="s">
        <v>15</v>
      </c>
      <c r="G17" t="s">
        <v>16</v>
      </c>
      <c r="H17">
        <v>34</v>
      </c>
      <c r="I17">
        <v>10</v>
      </c>
      <c r="J17">
        <v>64964</v>
      </c>
      <c r="K17">
        <v>1</v>
      </c>
      <c r="L17">
        <v>0</v>
      </c>
      <c r="M17">
        <v>26260.98</v>
      </c>
      <c r="N17">
        <v>0</v>
      </c>
      <c r="O17" s="35">
        <v>46189</v>
      </c>
      <c r="P17">
        <v>0.1875</v>
      </c>
      <c r="Q17">
        <v>26715</v>
      </c>
      <c r="X17" s="19"/>
      <c r="Y17" s="20"/>
      <c r="Z17" s="20"/>
      <c r="AA17" s="20"/>
      <c r="AB17" s="54" t="s">
        <v>59</v>
      </c>
      <c r="AC17" s="20"/>
      <c r="AD17" s="20"/>
      <c r="AE17" s="20"/>
      <c r="AF17" s="20"/>
      <c r="AG17" s="20"/>
      <c r="AH17" s="20"/>
      <c r="AI17" s="20"/>
      <c r="AJ17" s="20"/>
      <c r="AK17" s="21"/>
      <c r="AM17" s="22"/>
      <c r="AT17" s="23"/>
    </row>
    <row r="18" spans="2:48" x14ac:dyDescent="0.25">
      <c r="C18">
        <v>14</v>
      </c>
      <c r="D18">
        <v>15691483</v>
      </c>
      <c r="E18">
        <v>549</v>
      </c>
      <c r="F18" t="s">
        <v>15</v>
      </c>
      <c r="G18" t="s">
        <v>16</v>
      </c>
      <c r="H18">
        <v>45</v>
      </c>
      <c r="I18">
        <v>5</v>
      </c>
      <c r="J18">
        <v>34978</v>
      </c>
      <c r="K18">
        <v>0</v>
      </c>
      <c r="L18">
        <v>0</v>
      </c>
      <c r="M18">
        <v>190857.79</v>
      </c>
      <c r="N18">
        <v>0</v>
      </c>
      <c r="O18" s="35">
        <v>46190</v>
      </c>
      <c r="P18">
        <v>0.2013888888888889</v>
      </c>
      <c r="Q18">
        <v>63456</v>
      </c>
      <c r="X18" s="22"/>
      <c r="AK18" s="23"/>
      <c r="AM18" s="22"/>
      <c r="AT18" s="23"/>
    </row>
    <row r="19" spans="2:48" ht="15.75" thickBot="1" x14ac:dyDescent="0.3">
      <c r="C19">
        <v>15</v>
      </c>
      <c r="D19">
        <v>15600882</v>
      </c>
      <c r="E19">
        <v>635</v>
      </c>
      <c r="F19" t="s">
        <v>17</v>
      </c>
      <c r="G19" t="s">
        <v>16</v>
      </c>
      <c r="H19">
        <v>35</v>
      </c>
      <c r="I19">
        <v>7</v>
      </c>
      <c r="J19">
        <v>52908</v>
      </c>
      <c r="K19">
        <v>1</v>
      </c>
      <c r="L19">
        <v>1</v>
      </c>
      <c r="M19">
        <v>65951.649999999994</v>
      </c>
      <c r="N19">
        <v>0</v>
      </c>
      <c r="O19" s="35">
        <v>46191</v>
      </c>
      <c r="P19">
        <v>0.22916666666666666</v>
      </c>
      <c r="Q19">
        <v>26578</v>
      </c>
      <c r="X19" s="22"/>
      <c r="AK19" s="23"/>
      <c r="AM19" s="22"/>
      <c r="AT19" s="23"/>
    </row>
    <row r="20" spans="2:48" x14ac:dyDescent="0.25">
      <c r="X20" s="26" t="s">
        <v>5</v>
      </c>
      <c r="Y20" s="7"/>
      <c r="Z20" s="7" t="s">
        <v>6</v>
      </c>
      <c r="AA20" s="7"/>
      <c r="AB20" s="7" t="s">
        <v>7</v>
      </c>
      <c r="AC20" s="7"/>
      <c r="AD20" s="7" t="s">
        <v>8</v>
      </c>
      <c r="AE20" s="7"/>
      <c r="AF20" s="7" t="s">
        <v>9</v>
      </c>
      <c r="AG20" s="7"/>
      <c r="AH20" s="7" t="s">
        <v>10</v>
      </c>
      <c r="AI20" s="7"/>
      <c r="AJ20" s="7" t="s">
        <v>11</v>
      </c>
      <c r="AK20" s="27"/>
      <c r="AM20" s="22"/>
      <c r="AT20" s="23"/>
    </row>
    <row r="21" spans="2:48" ht="15.75" thickBot="1" x14ac:dyDescent="0.3">
      <c r="X21" s="22"/>
      <c r="AK21" s="23"/>
      <c r="AM21" s="22"/>
      <c r="AT21" s="23"/>
    </row>
    <row r="22" spans="2:48" x14ac:dyDescent="0.25">
      <c r="I22" s="36"/>
      <c r="J22" s="36"/>
      <c r="Q22" s="19"/>
      <c r="R22" s="20"/>
      <c r="S22" s="20"/>
      <c r="T22" s="20"/>
      <c r="U22" s="21"/>
      <c r="X22" s="22" t="s">
        <v>20</v>
      </c>
      <c r="Y22">
        <v>36.799999999999997</v>
      </c>
      <c r="Z22" t="s">
        <v>20</v>
      </c>
      <c r="AA22">
        <v>4.666666666666667</v>
      </c>
      <c r="AB22" t="s">
        <v>20</v>
      </c>
      <c r="AC22">
        <v>46750</v>
      </c>
      <c r="AD22" t="s">
        <v>20</v>
      </c>
      <c r="AE22">
        <v>0.66666666666666663</v>
      </c>
      <c r="AF22" t="s">
        <v>20</v>
      </c>
      <c r="AG22">
        <v>0.46666666666666667</v>
      </c>
      <c r="AH22" t="s">
        <v>20</v>
      </c>
      <c r="AI22">
        <v>91080.528666666665</v>
      </c>
      <c r="AJ22" t="s">
        <v>20</v>
      </c>
      <c r="AK22" s="23">
        <v>0.26666666666666666</v>
      </c>
      <c r="AM22" s="22"/>
      <c r="AT22" s="23"/>
    </row>
    <row r="23" spans="2:48" ht="18.75" x14ac:dyDescent="0.4">
      <c r="Q23" s="22"/>
      <c r="R23" s="55" t="s">
        <v>91</v>
      </c>
      <c r="S23" s="55"/>
      <c r="T23" s="55"/>
      <c r="U23" s="56"/>
      <c r="X23" s="22" t="s">
        <v>21</v>
      </c>
      <c r="Y23">
        <v>2.1407608794204807</v>
      </c>
      <c r="Z23" t="s">
        <v>21</v>
      </c>
      <c r="AA23">
        <v>0.74108457628421132</v>
      </c>
      <c r="AB23" t="s">
        <v>21</v>
      </c>
      <c r="AC23">
        <v>6497.3843616379309</v>
      </c>
      <c r="AD23" t="s">
        <v>21</v>
      </c>
      <c r="AE23">
        <v>0.12598815766974242</v>
      </c>
      <c r="AF23" t="s">
        <v>21</v>
      </c>
      <c r="AG23">
        <v>0.1333333333333333</v>
      </c>
      <c r="AH23" t="s">
        <v>21</v>
      </c>
      <c r="AI23">
        <v>11506.4559307359</v>
      </c>
      <c r="AJ23" t="s">
        <v>21</v>
      </c>
      <c r="AK23" s="23">
        <v>0.11818736805705576</v>
      </c>
      <c r="AM23" s="22"/>
      <c r="AT23" s="23"/>
    </row>
    <row r="24" spans="2:48" ht="15.75" thickBot="1" x14ac:dyDescent="0.3">
      <c r="Q24" s="22"/>
      <c r="U24" s="23"/>
      <c r="X24" s="22" t="s">
        <v>22</v>
      </c>
      <c r="Y24">
        <v>39</v>
      </c>
      <c r="Z24" t="s">
        <v>22</v>
      </c>
      <c r="AA24">
        <v>4</v>
      </c>
      <c r="AB24" t="s">
        <v>22</v>
      </c>
      <c r="AC24">
        <v>50000</v>
      </c>
      <c r="AD24" t="s">
        <v>22</v>
      </c>
      <c r="AE24">
        <v>1</v>
      </c>
      <c r="AF24" t="s">
        <v>22</v>
      </c>
      <c r="AG24">
        <v>0</v>
      </c>
      <c r="AH24" t="s">
        <v>22</v>
      </c>
      <c r="AI24">
        <v>80181.119999999995</v>
      </c>
      <c r="AJ24" t="s">
        <v>22</v>
      </c>
      <c r="AK24" s="23">
        <v>0</v>
      </c>
      <c r="AM24" s="22"/>
      <c r="AT24" s="23"/>
    </row>
    <row r="25" spans="2:48" ht="15.75" thickBot="1" x14ac:dyDescent="0.3">
      <c r="Q25" s="22"/>
      <c r="R25" s="7"/>
      <c r="S25" s="7" t="s">
        <v>5</v>
      </c>
      <c r="T25" s="7" t="s">
        <v>6</v>
      </c>
      <c r="U25" s="23"/>
      <c r="X25" s="22" t="s">
        <v>23</v>
      </c>
      <c r="Y25">
        <v>24</v>
      </c>
      <c r="Z25" t="s">
        <v>23</v>
      </c>
      <c r="AA25">
        <v>2</v>
      </c>
      <c r="AB25" t="s">
        <v>23</v>
      </c>
      <c r="AC25">
        <v>40000</v>
      </c>
      <c r="AD25" t="s">
        <v>23</v>
      </c>
      <c r="AE25">
        <v>1</v>
      </c>
      <c r="AF25" t="s">
        <v>23</v>
      </c>
      <c r="AG25">
        <v>0</v>
      </c>
      <c r="AH25" t="s">
        <v>23</v>
      </c>
      <c r="AI25" t="e">
        <v>#N/A</v>
      </c>
      <c r="AJ25" t="s">
        <v>23</v>
      </c>
      <c r="AK25" s="23">
        <v>0</v>
      </c>
      <c r="AM25" s="24"/>
      <c r="AN25" s="5"/>
      <c r="AO25" s="5"/>
      <c r="AP25" s="5"/>
      <c r="AQ25" s="5"/>
      <c r="AR25" s="5"/>
      <c r="AS25" s="5"/>
      <c r="AT25" s="25"/>
    </row>
    <row r="26" spans="2:48" ht="23.25" thickBot="1" x14ac:dyDescent="0.5">
      <c r="B26" s="19"/>
      <c r="C26" s="53" t="s">
        <v>33</v>
      </c>
      <c r="D26" s="54"/>
      <c r="E26" s="20"/>
      <c r="F26" s="20"/>
      <c r="G26" s="20"/>
      <c r="H26" s="20"/>
      <c r="I26" s="21"/>
      <c r="J26" s="37"/>
      <c r="K26" s="19"/>
      <c r="L26" s="20"/>
      <c r="M26" s="20"/>
      <c r="N26" s="20"/>
      <c r="O26" s="21"/>
      <c r="Q26" s="22"/>
      <c r="R26" t="s">
        <v>20</v>
      </c>
      <c r="S26">
        <v>36.799999999999997</v>
      </c>
      <c r="T26">
        <v>4.666666666666667</v>
      </c>
      <c r="U26" s="23"/>
      <c r="X26" s="22" t="s">
        <v>24</v>
      </c>
      <c r="Y26">
        <v>8.2911312342078656</v>
      </c>
      <c r="Z26" t="s">
        <v>24</v>
      </c>
      <c r="AA26">
        <v>2.8702082220799308</v>
      </c>
      <c r="AB26" t="s">
        <v>24</v>
      </c>
      <c r="AC26">
        <v>25164.261426532215</v>
      </c>
      <c r="AD26" t="s">
        <v>24</v>
      </c>
      <c r="AE26">
        <v>0.4879500364742666</v>
      </c>
      <c r="AF26" t="s">
        <v>24</v>
      </c>
      <c r="AG26">
        <v>0.5163977794943222</v>
      </c>
      <c r="AH26" t="s">
        <v>24</v>
      </c>
      <c r="AI26">
        <v>44564.312193609701</v>
      </c>
      <c r="AJ26" t="s">
        <v>24</v>
      </c>
      <c r="AK26" s="23">
        <v>0.45773770821706344</v>
      </c>
    </row>
    <row r="27" spans="2:48" ht="18.75" x14ac:dyDescent="0.4">
      <c r="B27" s="22"/>
      <c r="C27" s="37"/>
      <c r="D27" s="37"/>
      <c r="E27" s="37"/>
      <c r="F27" s="37"/>
      <c r="G27" s="37"/>
      <c r="H27" s="37"/>
      <c r="I27" s="23"/>
      <c r="J27" s="37"/>
      <c r="K27" s="57" t="s">
        <v>93</v>
      </c>
      <c r="L27" s="52"/>
      <c r="M27" s="52"/>
      <c r="N27" s="37"/>
      <c r="O27" s="56"/>
      <c r="Q27" s="22"/>
      <c r="R27" t="s">
        <v>37</v>
      </c>
      <c r="S27">
        <v>68.742857142857247</v>
      </c>
      <c r="T27">
        <v>8.2380952380952372</v>
      </c>
      <c r="U27" s="23"/>
      <c r="X27" s="22" t="s">
        <v>25</v>
      </c>
      <c r="Y27">
        <v>68.742857142857247</v>
      </c>
      <c r="Z27" t="s">
        <v>25</v>
      </c>
      <c r="AA27">
        <v>8.2380952380952372</v>
      </c>
      <c r="AB27" t="s">
        <v>25</v>
      </c>
      <c r="AC27">
        <v>633240053.14285719</v>
      </c>
      <c r="AD27" t="s">
        <v>25</v>
      </c>
      <c r="AE27">
        <v>0.23809523809523808</v>
      </c>
      <c r="AF27" t="s">
        <v>25</v>
      </c>
      <c r="AG27">
        <v>0.26666666666666666</v>
      </c>
      <c r="AH27" t="s">
        <v>25</v>
      </c>
      <c r="AI27">
        <v>1985977921.2895105</v>
      </c>
      <c r="AJ27" t="s">
        <v>25</v>
      </c>
      <c r="AK27" s="23">
        <v>0.20952380952380953</v>
      </c>
      <c r="AM27" s="19"/>
      <c r="AN27" s="20" t="s">
        <v>68</v>
      </c>
      <c r="AO27" s="20"/>
      <c r="AP27" s="20"/>
      <c r="AQ27" s="20"/>
      <c r="AR27" s="20"/>
      <c r="AS27" s="20"/>
      <c r="AT27" s="20"/>
      <c r="AU27" s="20"/>
      <c r="AV27" s="21"/>
    </row>
    <row r="28" spans="2:48" ht="15.75" thickBot="1" x14ac:dyDescent="0.3">
      <c r="B28" s="22"/>
      <c r="C28" s="37" t="s">
        <v>34</v>
      </c>
      <c r="D28" s="37"/>
      <c r="E28" s="37"/>
      <c r="F28" s="37"/>
      <c r="G28" s="37"/>
      <c r="H28" s="37"/>
      <c r="I28" s="23"/>
      <c r="J28" s="37"/>
      <c r="K28" s="22"/>
      <c r="L28" s="37"/>
      <c r="M28" s="37"/>
      <c r="N28" s="37"/>
      <c r="O28" s="23"/>
      <c r="Q28" s="22"/>
      <c r="R28" t="s">
        <v>61</v>
      </c>
      <c r="S28">
        <v>15</v>
      </c>
      <c r="T28">
        <v>15</v>
      </c>
      <c r="U28" s="23"/>
      <c r="X28" s="22" t="s">
        <v>26</v>
      </c>
      <c r="Y28">
        <v>-1.196958846569236</v>
      </c>
      <c r="Z28" t="s">
        <v>26</v>
      </c>
      <c r="AA28">
        <v>-1.1140751059558895</v>
      </c>
      <c r="AB28" t="s">
        <v>26</v>
      </c>
      <c r="AC28">
        <v>-0.67224496802558864</v>
      </c>
      <c r="AD28" t="s">
        <v>26</v>
      </c>
      <c r="AE28">
        <v>-1.6153846153846154</v>
      </c>
      <c r="AF28" t="s">
        <v>26</v>
      </c>
      <c r="AG28">
        <v>-2.3076923076923075</v>
      </c>
      <c r="AH28" t="s">
        <v>26</v>
      </c>
      <c r="AI28">
        <v>1.065519912393337</v>
      </c>
      <c r="AJ28" t="s">
        <v>26</v>
      </c>
      <c r="AK28" s="23">
        <v>-0.73426573426573549</v>
      </c>
      <c r="AM28" s="22"/>
      <c r="AV28" s="23"/>
    </row>
    <row r="29" spans="2:48" x14ac:dyDescent="0.25">
      <c r="B29" s="22"/>
      <c r="C29" s="7" t="s">
        <v>35</v>
      </c>
      <c r="D29" s="7" t="s">
        <v>32</v>
      </c>
      <c r="E29" s="7" t="s">
        <v>31</v>
      </c>
      <c r="F29" s="7" t="s">
        <v>36</v>
      </c>
      <c r="G29" s="7" t="s">
        <v>37</v>
      </c>
      <c r="H29" s="37"/>
      <c r="I29" s="23"/>
      <c r="J29" s="37"/>
      <c r="K29" s="26"/>
      <c r="L29" s="7" t="s">
        <v>5</v>
      </c>
      <c r="M29" s="7" t="s">
        <v>6</v>
      </c>
      <c r="N29" s="37"/>
      <c r="O29" s="23"/>
      <c r="Q29" s="22"/>
      <c r="R29" t="s">
        <v>92</v>
      </c>
      <c r="S29">
        <v>38.490476190476237</v>
      </c>
      <c r="U29" s="23"/>
      <c r="X29" s="22" t="s">
        <v>27</v>
      </c>
      <c r="Y29">
        <v>-0.25615624608499327</v>
      </c>
      <c r="Z29" t="s">
        <v>27</v>
      </c>
      <c r="AA29">
        <v>0.32377508530981786</v>
      </c>
      <c r="AB29" t="s">
        <v>27</v>
      </c>
      <c r="AC29">
        <v>-0.32465357442473886</v>
      </c>
      <c r="AD29" t="s">
        <v>27</v>
      </c>
      <c r="AE29">
        <v>-0.78822698199689201</v>
      </c>
      <c r="AF29" t="s">
        <v>27</v>
      </c>
      <c r="AG29">
        <v>0.14896089793105446</v>
      </c>
      <c r="AH29" t="s">
        <v>27</v>
      </c>
      <c r="AI29">
        <v>0.37547840066329463</v>
      </c>
      <c r="AJ29" t="s">
        <v>27</v>
      </c>
      <c r="AK29" s="23">
        <v>1.1763539004879073</v>
      </c>
      <c r="AM29" s="22"/>
      <c r="AN29" s="8" t="s">
        <v>69</v>
      </c>
      <c r="AO29" s="8"/>
      <c r="AV29" s="23"/>
    </row>
    <row r="30" spans="2:48" x14ac:dyDescent="0.25">
      <c r="B30" s="22"/>
      <c r="C30" s="37" t="s">
        <v>5</v>
      </c>
      <c r="D30" s="37">
        <v>15</v>
      </c>
      <c r="E30" s="37">
        <v>552</v>
      </c>
      <c r="F30" s="37">
        <v>36.799999999999997</v>
      </c>
      <c r="G30" s="37">
        <v>68.742857142857247</v>
      </c>
      <c r="H30" s="37"/>
      <c r="I30" s="23"/>
      <c r="J30" s="37"/>
      <c r="K30" s="22" t="s">
        <v>20</v>
      </c>
      <c r="L30" s="37">
        <v>36.799999999999997</v>
      </c>
      <c r="M30" s="37">
        <v>4.666666666666667</v>
      </c>
      <c r="N30" s="37"/>
      <c r="O30" s="23"/>
      <c r="Q30" s="22"/>
      <c r="R30" t="s">
        <v>86</v>
      </c>
      <c r="S30">
        <v>0</v>
      </c>
      <c r="U30" s="23"/>
      <c r="X30" s="22" t="s">
        <v>28</v>
      </c>
      <c r="Y30">
        <v>26</v>
      </c>
      <c r="Z30" t="s">
        <v>28</v>
      </c>
      <c r="AA30">
        <v>9</v>
      </c>
      <c r="AB30" t="s">
        <v>28</v>
      </c>
      <c r="AC30">
        <v>84000</v>
      </c>
      <c r="AD30" t="s">
        <v>28</v>
      </c>
      <c r="AE30">
        <v>1</v>
      </c>
      <c r="AF30" t="s">
        <v>28</v>
      </c>
      <c r="AG30">
        <v>1</v>
      </c>
      <c r="AH30" t="s">
        <v>28</v>
      </c>
      <c r="AI30">
        <v>180794.99000000002</v>
      </c>
      <c r="AJ30" t="s">
        <v>28</v>
      </c>
      <c r="AK30" s="23">
        <v>1</v>
      </c>
      <c r="AM30" s="22"/>
      <c r="AN30" t="s">
        <v>70</v>
      </c>
      <c r="AO30">
        <v>5.4027799051585071E-2</v>
      </c>
      <c r="AV30" s="23"/>
    </row>
    <row r="31" spans="2:48" x14ac:dyDescent="0.25">
      <c r="B31" s="22"/>
      <c r="C31" s="37" t="s">
        <v>6</v>
      </c>
      <c r="D31" s="37">
        <v>15</v>
      </c>
      <c r="E31" s="37">
        <v>70</v>
      </c>
      <c r="F31" s="37">
        <v>4.666666666666667</v>
      </c>
      <c r="G31" s="37">
        <v>8.2380952380952372</v>
      </c>
      <c r="H31" s="37"/>
      <c r="I31" s="23"/>
      <c r="J31" s="37"/>
      <c r="K31" s="22" t="s">
        <v>37</v>
      </c>
      <c r="L31" s="37">
        <v>68.742857142857247</v>
      </c>
      <c r="M31" s="37">
        <v>8.2380952380952372</v>
      </c>
      <c r="N31" s="37"/>
      <c r="O31" s="23"/>
      <c r="Q31" s="22"/>
      <c r="R31" t="s">
        <v>41</v>
      </c>
      <c r="S31">
        <v>28</v>
      </c>
      <c r="U31" s="23"/>
      <c r="X31" s="22" t="s">
        <v>29</v>
      </c>
      <c r="Y31">
        <v>24</v>
      </c>
      <c r="Z31" t="s">
        <v>29</v>
      </c>
      <c r="AA31">
        <v>1</v>
      </c>
      <c r="AB31" t="s">
        <v>29</v>
      </c>
      <c r="AC31">
        <v>1000</v>
      </c>
      <c r="AD31" t="s">
        <v>29</v>
      </c>
      <c r="AE31">
        <v>0</v>
      </c>
      <c r="AF31" t="s">
        <v>29</v>
      </c>
      <c r="AG31">
        <v>0</v>
      </c>
      <c r="AH31" t="s">
        <v>29</v>
      </c>
      <c r="AI31">
        <v>10062.799999999999</v>
      </c>
      <c r="AJ31" t="s">
        <v>29</v>
      </c>
      <c r="AK31" s="23">
        <v>0</v>
      </c>
      <c r="AM31" s="22"/>
      <c r="AN31" t="s">
        <v>71</v>
      </c>
      <c r="AO31">
        <v>2.9190030703584563E-3</v>
      </c>
      <c r="AV31" s="23"/>
    </row>
    <row r="32" spans="2:48" x14ac:dyDescent="0.25">
      <c r="B32" s="22"/>
      <c r="C32" s="37" t="s">
        <v>7</v>
      </c>
      <c r="D32" s="37">
        <v>15</v>
      </c>
      <c r="E32" s="37">
        <v>701250</v>
      </c>
      <c r="F32" s="37">
        <v>46750</v>
      </c>
      <c r="G32" s="37">
        <v>633240053.14285719</v>
      </c>
      <c r="H32" s="37"/>
      <c r="I32" s="23"/>
      <c r="J32" s="37"/>
      <c r="K32" s="22" t="s">
        <v>61</v>
      </c>
      <c r="L32" s="37">
        <v>15</v>
      </c>
      <c r="M32" s="37">
        <v>15</v>
      </c>
      <c r="N32" s="37"/>
      <c r="O32" s="23"/>
      <c r="Q32" s="22"/>
      <c r="R32" t="s">
        <v>78</v>
      </c>
      <c r="S32">
        <v>14.184360773768947</v>
      </c>
      <c r="U32" s="23"/>
      <c r="X32" s="22" t="s">
        <v>30</v>
      </c>
      <c r="Y32">
        <v>50</v>
      </c>
      <c r="Z32" t="s">
        <v>30</v>
      </c>
      <c r="AA32">
        <v>10</v>
      </c>
      <c r="AB32" t="s">
        <v>30</v>
      </c>
      <c r="AC32">
        <v>85000</v>
      </c>
      <c r="AD32" t="s">
        <v>30</v>
      </c>
      <c r="AE32">
        <v>1</v>
      </c>
      <c r="AF32" t="s">
        <v>30</v>
      </c>
      <c r="AG32">
        <v>1</v>
      </c>
      <c r="AH32" t="s">
        <v>30</v>
      </c>
      <c r="AI32">
        <v>190857.79</v>
      </c>
      <c r="AJ32" t="s">
        <v>30</v>
      </c>
      <c r="AK32" s="23">
        <v>1</v>
      </c>
      <c r="AM32" s="22"/>
      <c r="AN32" t="s">
        <v>72</v>
      </c>
      <c r="AO32">
        <v>-7.3779535154998591E-2</v>
      </c>
      <c r="AV32" s="23"/>
    </row>
    <row r="33" spans="1:48" x14ac:dyDescent="0.25">
      <c r="B33" s="22"/>
      <c r="C33" s="37" t="s">
        <v>8</v>
      </c>
      <c r="D33" s="37">
        <v>15</v>
      </c>
      <c r="E33" s="37">
        <v>10</v>
      </c>
      <c r="F33" s="37">
        <v>0.66666666666666663</v>
      </c>
      <c r="G33" s="37">
        <v>0.23809523809523808</v>
      </c>
      <c r="H33" s="37"/>
      <c r="I33" s="23"/>
      <c r="J33" s="37"/>
      <c r="K33" s="22" t="s">
        <v>86</v>
      </c>
      <c r="L33" s="37">
        <v>0</v>
      </c>
      <c r="M33" s="37"/>
      <c r="N33" s="37"/>
      <c r="O33" s="23"/>
      <c r="Q33" s="22"/>
      <c r="R33" t="s">
        <v>87</v>
      </c>
      <c r="S33">
        <v>1.3093814185997221E-14</v>
      </c>
      <c r="U33" s="23"/>
      <c r="X33" s="22" t="s">
        <v>31</v>
      </c>
      <c r="Y33">
        <v>552</v>
      </c>
      <c r="Z33" t="s">
        <v>31</v>
      </c>
      <c r="AA33">
        <v>70</v>
      </c>
      <c r="AB33" t="s">
        <v>31</v>
      </c>
      <c r="AC33">
        <v>701250</v>
      </c>
      <c r="AD33" t="s">
        <v>31</v>
      </c>
      <c r="AE33">
        <v>10</v>
      </c>
      <c r="AF33" t="s">
        <v>31</v>
      </c>
      <c r="AG33">
        <v>7</v>
      </c>
      <c r="AH33" t="s">
        <v>31</v>
      </c>
      <c r="AI33">
        <v>1366207.93</v>
      </c>
      <c r="AJ33" t="s">
        <v>31</v>
      </c>
      <c r="AK33" s="23">
        <v>4</v>
      </c>
      <c r="AM33" s="22"/>
      <c r="AN33" t="s">
        <v>21</v>
      </c>
      <c r="AO33">
        <v>2.9742054527763395</v>
      </c>
      <c r="AV33" s="23"/>
    </row>
    <row r="34" spans="1:48" ht="15.75" thickBot="1" x14ac:dyDescent="0.3">
      <c r="B34" s="22"/>
      <c r="C34" s="37" t="s">
        <v>9</v>
      </c>
      <c r="D34" s="37">
        <v>15</v>
      </c>
      <c r="E34" s="37">
        <v>7</v>
      </c>
      <c r="F34" s="37">
        <v>0.46666666666666667</v>
      </c>
      <c r="G34" s="37">
        <v>0.26666666666666666</v>
      </c>
      <c r="H34" s="37"/>
      <c r="I34" s="23"/>
      <c r="J34" s="37"/>
      <c r="K34" s="22" t="s">
        <v>41</v>
      </c>
      <c r="L34" s="37">
        <v>17</v>
      </c>
      <c r="M34" s="37"/>
      <c r="N34" s="37"/>
      <c r="O34" s="23"/>
      <c r="Q34" s="22"/>
      <c r="R34" t="s">
        <v>88</v>
      </c>
      <c r="S34">
        <v>1.7011309342659326</v>
      </c>
      <c r="U34" s="23"/>
      <c r="X34" s="22" t="s">
        <v>32</v>
      </c>
      <c r="Y34">
        <v>15</v>
      </c>
      <c r="Z34" t="s">
        <v>32</v>
      </c>
      <c r="AA34">
        <v>15</v>
      </c>
      <c r="AB34" t="s">
        <v>32</v>
      </c>
      <c r="AC34">
        <v>15</v>
      </c>
      <c r="AD34" t="s">
        <v>32</v>
      </c>
      <c r="AE34">
        <v>15</v>
      </c>
      <c r="AF34" t="s">
        <v>32</v>
      </c>
      <c r="AG34">
        <v>15</v>
      </c>
      <c r="AH34" t="s">
        <v>32</v>
      </c>
      <c r="AI34">
        <v>15</v>
      </c>
      <c r="AJ34" t="s">
        <v>32</v>
      </c>
      <c r="AK34" s="23">
        <v>15</v>
      </c>
      <c r="AM34" s="22"/>
      <c r="AN34" s="5" t="s">
        <v>61</v>
      </c>
      <c r="AO34" s="5">
        <v>15</v>
      </c>
      <c r="AV34" s="23"/>
    </row>
    <row r="35" spans="1:48" ht="15.75" thickBot="1" x14ac:dyDescent="0.3">
      <c r="B35" s="22"/>
      <c r="C35" s="37" t="s">
        <v>10</v>
      </c>
      <c r="D35" s="37">
        <v>15</v>
      </c>
      <c r="E35" s="37">
        <v>1366207.93</v>
      </c>
      <c r="F35" s="37">
        <v>91080.528666666665</v>
      </c>
      <c r="G35" s="37">
        <v>1985977921.2895105</v>
      </c>
      <c r="H35" s="37"/>
      <c r="I35" s="23"/>
      <c r="J35" s="37"/>
      <c r="K35" s="22" t="s">
        <v>78</v>
      </c>
      <c r="L35" s="37">
        <v>14.184360773768947</v>
      </c>
      <c r="M35" s="37"/>
      <c r="N35" s="37"/>
      <c r="O35" s="23"/>
      <c r="Q35" s="22"/>
      <c r="R35" t="s">
        <v>89</v>
      </c>
      <c r="S35">
        <v>2.6187628371994442E-14</v>
      </c>
      <c r="U35" s="23"/>
      <c r="X35" s="24" t="s">
        <v>83</v>
      </c>
      <c r="Y35" s="5">
        <v>4.5914754361962569</v>
      </c>
      <c r="Z35" s="5" t="s">
        <v>83</v>
      </c>
      <c r="AA35" s="5">
        <v>1.5894683338355824</v>
      </c>
      <c r="AB35" s="5" t="s">
        <v>83</v>
      </c>
      <c r="AC35" s="5">
        <v>13935.50348512635</v>
      </c>
      <c r="AD35" s="5" t="s">
        <v>83</v>
      </c>
      <c r="AE35" s="5">
        <v>0.27021772340535283</v>
      </c>
      <c r="AF35" s="5" t="s">
        <v>83</v>
      </c>
      <c r="AG35" s="5">
        <v>0.28597155838904043</v>
      </c>
      <c r="AH35" s="5" t="s">
        <v>83</v>
      </c>
      <c r="AI35" s="5">
        <v>24678.893505355216</v>
      </c>
      <c r="AJ35" s="5" t="s">
        <v>83</v>
      </c>
      <c r="AK35" s="25">
        <v>0.25348669368881505</v>
      </c>
      <c r="AM35" s="22"/>
      <c r="AV35" s="23"/>
    </row>
    <row r="36" spans="1:48" ht="15.75" thickBot="1" x14ac:dyDescent="0.3">
      <c r="B36" s="22"/>
      <c r="C36" s="5" t="s">
        <v>11</v>
      </c>
      <c r="D36" s="5">
        <v>15</v>
      </c>
      <c r="E36" s="5">
        <v>4</v>
      </c>
      <c r="F36" s="5">
        <v>0.26666666666666666</v>
      </c>
      <c r="G36" s="5">
        <v>0.20952380952380953</v>
      </c>
      <c r="H36" s="37"/>
      <c r="I36" s="23"/>
      <c r="J36" s="37"/>
      <c r="K36" s="22" t="s">
        <v>87</v>
      </c>
      <c r="L36" s="37">
        <v>3.7464528820167267E-11</v>
      </c>
      <c r="M36" s="37"/>
      <c r="N36" s="37"/>
      <c r="O36" s="23"/>
      <c r="Q36" s="22"/>
      <c r="R36" s="5" t="s">
        <v>90</v>
      </c>
      <c r="S36" s="5">
        <v>2.0484071417952445</v>
      </c>
      <c r="T36" s="5"/>
      <c r="U36" s="23"/>
      <c r="X36" s="24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25"/>
      <c r="AM36" s="22"/>
      <c r="AN36" t="s">
        <v>38</v>
      </c>
      <c r="AV36" s="23"/>
    </row>
    <row r="37" spans="1:48" ht="15.75" thickBot="1" x14ac:dyDescent="0.3">
      <c r="B37" s="22"/>
      <c r="C37" s="37"/>
      <c r="D37" s="37"/>
      <c r="E37" s="37"/>
      <c r="F37" s="37"/>
      <c r="G37" s="37"/>
      <c r="H37" s="37"/>
      <c r="I37" s="23"/>
      <c r="J37" s="37"/>
      <c r="K37" s="22" t="s">
        <v>88</v>
      </c>
      <c r="L37" s="37">
        <v>1.7396067260750732</v>
      </c>
      <c r="M37" s="37"/>
      <c r="N37" s="37"/>
      <c r="O37" s="23"/>
      <c r="Q37" s="24"/>
      <c r="R37" s="5"/>
      <c r="S37" s="5"/>
      <c r="T37" s="5"/>
      <c r="U37" s="25"/>
      <c r="AM37" s="22"/>
      <c r="AN37" s="7"/>
      <c r="AO37" s="7" t="s">
        <v>41</v>
      </c>
      <c r="AP37" s="7" t="s">
        <v>40</v>
      </c>
      <c r="AQ37" s="7" t="s">
        <v>42</v>
      </c>
      <c r="AR37" s="7" t="s">
        <v>43</v>
      </c>
      <c r="AS37" s="7" t="s">
        <v>76</v>
      </c>
      <c r="AV37" s="23"/>
    </row>
    <row r="38" spans="1:48" ht="15.75" thickBot="1" x14ac:dyDescent="0.3">
      <c r="B38" s="22"/>
      <c r="C38" s="37"/>
      <c r="D38" s="37"/>
      <c r="E38" s="37"/>
      <c r="F38" s="37"/>
      <c r="G38" s="37"/>
      <c r="H38" s="37"/>
      <c r="I38" s="23"/>
      <c r="J38" s="37"/>
      <c r="K38" s="22" t="s">
        <v>89</v>
      </c>
      <c r="L38" s="37">
        <v>7.4929057640334534E-11</v>
      </c>
      <c r="M38" s="37"/>
      <c r="N38" s="37"/>
      <c r="O38" s="23"/>
      <c r="AM38" s="22"/>
      <c r="AN38" t="s">
        <v>73</v>
      </c>
      <c r="AO38">
        <v>1</v>
      </c>
      <c r="AP38">
        <v>0.33665835411467526</v>
      </c>
      <c r="AQ38">
        <v>0.33665835411467526</v>
      </c>
      <c r="AR38">
        <v>3.8058131717996872E-2</v>
      </c>
      <c r="AS38">
        <v>0.84834239593432881</v>
      </c>
      <c r="AV38" s="23"/>
    </row>
    <row r="39" spans="1:48" ht="19.5" thickBot="1" x14ac:dyDescent="0.45">
      <c r="B39" s="22"/>
      <c r="C39" s="37" t="s">
        <v>38</v>
      </c>
      <c r="D39" s="37"/>
      <c r="E39" s="37"/>
      <c r="F39" s="37"/>
      <c r="G39" s="37"/>
      <c r="H39" s="37"/>
      <c r="I39" s="23"/>
      <c r="J39" s="37"/>
      <c r="K39" s="24" t="s">
        <v>90</v>
      </c>
      <c r="L39" s="5">
        <v>2.109815577833317</v>
      </c>
      <c r="M39" s="5"/>
      <c r="N39" s="37"/>
      <c r="O39" s="23"/>
      <c r="Q39" s="59" t="s">
        <v>84</v>
      </c>
      <c r="R39" s="60"/>
      <c r="S39" s="61"/>
      <c r="U39" s="62" t="s">
        <v>94</v>
      </c>
      <c r="V39" s="20"/>
      <c r="W39" s="21"/>
      <c r="Y39" s="62" t="s">
        <v>60</v>
      </c>
      <c r="Z39" s="20"/>
      <c r="AA39" s="21"/>
      <c r="AM39" s="22"/>
      <c r="AN39" t="s">
        <v>74</v>
      </c>
      <c r="AO39">
        <v>13</v>
      </c>
      <c r="AP39">
        <v>114.99667497921864</v>
      </c>
      <c r="AQ39">
        <v>8.8458980753245111</v>
      </c>
      <c r="AV39" s="23"/>
    </row>
    <row r="40" spans="1:48" ht="15.75" thickBot="1" x14ac:dyDescent="0.3">
      <c r="B40" s="22"/>
      <c r="C40" s="7" t="s">
        <v>39</v>
      </c>
      <c r="D40" s="7" t="s">
        <v>40</v>
      </c>
      <c r="E40" s="7" t="s">
        <v>41</v>
      </c>
      <c r="F40" s="7" t="s">
        <v>42</v>
      </c>
      <c r="G40" s="7" t="s">
        <v>43</v>
      </c>
      <c r="H40" s="7" t="s">
        <v>44</v>
      </c>
      <c r="I40" s="27" t="s">
        <v>45</v>
      </c>
      <c r="J40" s="37"/>
      <c r="K40" s="22"/>
      <c r="L40" s="37"/>
      <c r="M40" s="37"/>
      <c r="N40" s="37"/>
      <c r="O40" s="23"/>
      <c r="Q40" s="10"/>
      <c r="S40" s="11"/>
      <c r="U40" s="22"/>
      <c r="W40" s="23"/>
      <c r="Y40" s="22"/>
      <c r="AA40" s="23"/>
      <c r="AM40" s="22"/>
      <c r="AN40" s="5" t="s">
        <v>48</v>
      </c>
      <c r="AO40" s="5">
        <v>14</v>
      </c>
      <c r="AP40" s="5">
        <v>115.33333333333331</v>
      </c>
      <c r="AQ40" s="5"/>
      <c r="AR40" s="5"/>
      <c r="AS40" s="5"/>
      <c r="AV40" s="23"/>
    </row>
    <row r="41" spans="1:48" ht="15.75" thickBot="1" x14ac:dyDescent="0.3">
      <c r="B41" s="22"/>
      <c r="C41" s="37" t="s">
        <v>46</v>
      </c>
      <c r="D41" s="37">
        <v>116484670525.52705</v>
      </c>
      <c r="E41" s="37">
        <v>6</v>
      </c>
      <c r="F41" s="37">
        <v>19414111754.254509</v>
      </c>
      <c r="G41" s="37">
        <v>51.88524955735933</v>
      </c>
      <c r="H41" s="37">
        <v>2.8359257292107796E-28</v>
      </c>
      <c r="I41" s="23">
        <v>2.1925177893032943</v>
      </c>
      <c r="J41" s="37"/>
      <c r="K41" s="24"/>
      <c r="L41" s="5"/>
      <c r="M41" s="5"/>
      <c r="N41" s="5"/>
      <c r="O41" s="25"/>
      <c r="Q41" s="12"/>
      <c r="R41" s="7" t="s">
        <v>5</v>
      </c>
      <c r="S41" s="13" t="s">
        <v>6</v>
      </c>
      <c r="U41" s="26"/>
      <c r="V41" s="7" t="s">
        <v>7</v>
      </c>
      <c r="W41" s="27" t="s">
        <v>5</v>
      </c>
      <c r="Y41" s="26"/>
      <c r="Z41" s="7" t="s">
        <v>7</v>
      </c>
      <c r="AA41" s="27" t="s">
        <v>10</v>
      </c>
      <c r="AM41" s="22"/>
      <c r="AV41" s="23"/>
    </row>
    <row r="42" spans="1:48" x14ac:dyDescent="0.25">
      <c r="B42" s="22"/>
      <c r="C42" s="37" t="s">
        <v>47</v>
      </c>
      <c r="D42" s="37">
        <v>36669052729.786514</v>
      </c>
      <c r="E42" s="37">
        <v>98</v>
      </c>
      <c r="F42" s="37">
        <v>374174007.44680119</v>
      </c>
      <c r="G42" s="37"/>
      <c r="H42" s="37"/>
      <c r="I42" s="23"/>
      <c r="J42" s="37"/>
      <c r="Q42" s="10" t="s">
        <v>20</v>
      </c>
      <c r="R42">
        <v>36.799999999999997</v>
      </c>
      <c r="S42" s="11">
        <v>4.666666666666667</v>
      </c>
      <c r="U42" s="22" t="s">
        <v>20</v>
      </c>
      <c r="V42">
        <v>46750</v>
      </c>
      <c r="W42" s="23">
        <v>36.799999999999997</v>
      </c>
      <c r="Y42" s="22" t="s">
        <v>20</v>
      </c>
      <c r="Z42">
        <v>46750</v>
      </c>
      <c r="AA42" s="23">
        <v>91080.528666666665</v>
      </c>
      <c r="AM42" s="22"/>
      <c r="AO42" t="s">
        <v>77</v>
      </c>
      <c r="AP42" t="s">
        <v>21</v>
      </c>
      <c r="AQ42" t="s">
        <v>78</v>
      </c>
      <c r="AR42" t="s">
        <v>44</v>
      </c>
      <c r="AS42" t="s">
        <v>79</v>
      </c>
      <c r="AT42" t="s">
        <v>80</v>
      </c>
      <c r="AU42" t="s">
        <v>81</v>
      </c>
      <c r="AV42" s="23" t="s">
        <v>82</v>
      </c>
    </row>
    <row r="43" spans="1:48" x14ac:dyDescent="0.25">
      <c r="B43" s="22"/>
      <c r="C43" s="37"/>
      <c r="D43" s="37"/>
      <c r="E43" s="37"/>
      <c r="F43" s="37"/>
      <c r="G43" s="37"/>
      <c r="H43" s="37"/>
      <c r="I43" s="23"/>
      <c r="J43" s="37"/>
      <c r="Q43" s="10" t="s">
        <v>37</v>
      </c>
      <c r="R43">
        <v>68.742857142857247</v>
      </c>
      <c r="S43" s="11">
        <v>8.2380952380952372</v>
      </c>
      <c r="U43" s="22" t="s">
        <v>95</v>
      </c>
      <c r="V43">
        <v>15</v>
      </c>
      <c r="W43" s="23">
        <v>15</v>
      </c>
      <c r="Y43" s="22" t="s">
        <v>37</v>
      </c>
      <c r="Z43">
        <v>633240053.14285719</v>
      </c>
      <c r="AA43" s="23">
        <v>1985977921.2895105</v>
      </c>
      <c r="AM43" s="22"/>
      <c r="AN43" t="s">
        <v>75</v>
      </c>
      <c r="AO43">
        <v>5.354945968412304</v>
      </c>
      <c r="AP43">
        <v>3.610709258983571</v>
      </c>
      <c r="AQ43">
        <v>1.4830731538655491</v>
      </c>
      <c r="AR43">
        <v>0.16188904066879758</v>
      </c>
      <c r="AS43">
        <v>-2.4455171422957989</v>
      </c>
      <c r="AT43">
        <v>13.155409079120407</v>
      </c>
      <c r="AU43">
        <v>-2.4455171422957989</v>
      </c>
      <c r="AV43" s="23">
        <v>13.155409079120407</v>
      </c>
    </row>
    <row r="44" spans="1:48" ht="15.75" thickBot="1" x14ac:dyDescent="0.3">
      <c r="B44" s="24"/>
      <c r="C44" s="5" t="s">
        <v>48</v>
      </c>
      <c r="D44" s="5">
        <v>153153723255.31357</v>
      </c>
      <c r="E44" s="5">
        <v>104</v>
      </c>
      <c r="F44" s="5"/>
      <c r="G44" s="5"/>
      <c r="H44" s="5"/>
      <c r="I44" s="25"/>
      <c r="J44" s="37"/>
      <c r="Q44" s="10" t="s">
        <v>61</v>
      </c>
      <c r="R44">
        <v>15</v>
      </c>
      <c r="S44" s="11">
        <v>15</v>
      </c>
      <c r="U44" s="22" t="s">
        <v>61</v>
      </c>
      <c r="V44">
        <v>15</v>
      </c>
      <c r="W44" s="23">
        <v>15</v>
      </c>
      <c r="Y44" s="22" t="s">
        <v>61</v>
      </c>
      <c r="Z44">
        <v>15</v>
      </c>
      <c r="AA44" s="23">
        <v>15</v>
      </c>
      <c r="AM44" s="22"/>
      <c r="AN44" t="s">
        <v>5</v>
      </c>
      <c r="AO44">
        <v>-1.8703241895261877E-2</v>
      </c>
      <c r="AP44">
        <v>9.5872302651792876E-2</v>
      </c>
      <c r="AQ44">
        <v>-0.19508493462592466</v>
      </c>
      <c r="AR44">
        <v>0.84834239593432015</v>
      </c>
      <c r="AS44">
        <v>-0.22582275956710987</v>
      </c>
      <c r="AT44">
        <v>0.18841627577658612</v>
      </c>
      <c r="AU44">
        <v>-0.22582275956710987</v>
      </c>
      <c r="AV44" s="23">
        <v>0.18841627577658612</v>
      </c>
    </row>
    <row r="45" spans="1:48" ht="15.75" thickBot="1" x14ac:dyDescent="0.3">
      <c r="B45" s="24"/>
      <c r="C45" s="5"/>
      <c r="D45" s="5"/>
      <c r="E45" s="5"/>
      <c r="F45" s="5"/>
      <c r="G45" s="5"/>
      <c r="H45" s="5"/>
      <c r="I45" s="25"/>
      <c r="J45" s="37"/>
      <c r="Q45" s="10" t="s">
        <v>85</v>
      </c>
      <c r="R45">
        <v>-5.402779905158811E-2</v>
      </c>
      <c r="S45" s="11"/>
      <c r="U45" s="22" t="s">
        <v>86</v>
      </c>
      <c r="V45">
        <v>0</v>
      </c>
      <c r="W45" s="23"/>
      <c r="Y45" s="22" t="s">
        <v>41</v>
      </c>
      <c r="Z45">
        <v>14</v>
      </c>
      <c r="AA45" s="23">
        <v>14</v>
      </c>
      <c r="AM45" s="24"/>
      <c r="AN45" s="5"/>
      <c r="AO45" s="5"/>
      <c r="AP45" s="5"/>
      <c r="AQ45" s="5"/>
      <c r="AR45" s="5"/>
      <c r="AS45" s="5"/>
      <c r="AT45" s="5"/>
      <c r="AU45" s="5"/>
      <c r="AV45" s="25"/>
    </row>
    <row r="46" spans="1:48" ht="15.75" thickBot="1" x14ac:dyDescent="0.3">
      <c r="J46" s="37"/>
      <c r="K46" s="37"/>
      <c r="Q46" s="10" t="s">
        <v>86</v>
      </c>
      <c r="R46">
        <v>0</v>
      </c>
      <c r="S46" s="11"/>
      <c r="U46" s="22" t="s">
        <v>96</v>
      </c>
      <c r="V46">
        <v>33031.220490923428</v>
      </c>
      <c r="W46" s="23"/>
      <c r="Y46" s="22" t="s">
        <v>43</v>
      </c>
      <c r="Z46">
        <v>0.31885553527789956</v>
      </c>
      <c r="AA46" s="23"/>
    </row>
    <row r="47" spans="1:48" ht="15.75" thickBot="1" x14ac:dyDescent="0.3">
      <c r="A47" s="19"/>
      <c r="B47" s="20"/>
      <c r="C47" s="20"/>
      <c r="D47" s="20"/>
      <c r="E47" s="20"/>
      <c r="F47" s="20"/>
      <c r="G47" s="20"/>
      <c r="H47" s="20"/>
      <c r="I47" s="21"/>
      <c r="J47" s="37"/>
      <c r="Q47" s="10" t="s">
        <v>41</v>
      </c>
      <c r="R47">
        <v>14</v>
      </c>
      <c r="S47" s="11"/>
      <c r="U47" s="22" t="s">
        <v>97</v>
      </c>
      <c r="V47">
        <v>0</v>
      </c>
      <c r="W47" s="23"/>
      <c r="Y47" s="22" t="s">
        <v>62</v>
      </c>
      <c r="Z47">
        <v>2.0268670328399851E-2</v>
      </c>
      <c r="AA47" s="23"/>
    </row>
    <row r="48" spans="1:48" ht="15.75" thickBot="1" x14ac:dyDescent="0.3">
      <c r="A48" s="22"/>
      <c r="B48" s="19" t="s">
        <v>101</v>
      </c>
      <c r="C48" s="20" t="s">
        <v>102</v>
      </c>
      <c r="D48" s="20" t="s">
        <v>103</v>
      </c>
      <c r="E48" s="20" t="s">
        <v>104</v>
      </c>
      <c r="F48" s="20" t="s">
        <v>105</v>
      </c>
      <c r="G48" s="20" t="s">
        <v>106</v>
      </c>
      <c r="H48" s="21" t="s">
        <v>107</v>
      </c>
      <c r="I48" s="23"/>
      <c r="Q48" s="10" t="s">
        <v>78</v>
      </c>
      <c r="R48">
        <v>13.953232072275576</v>
      </c>
      <c r="S48" s="11"/>
      <c r="U48" s="22" t="s">
        <v>98</v>
      </c>
      <c r="V48">
        <v>1.6448536269514715</v>
      </c>
      <c r="W48" s="23"/>
      <c r="Y48" s="24" t="s">
        <v>63</v>
      </c>
      <c r="Z48" s="5">
        <v>0.40262094298131063</v>
      </c>
      <c r="AA48" s="25"/>
    </row>
    <row r="49" spans="1:23" x14ac:dyDescent="0.25">
      <c r="A49" s="22"/>
      <c r="B49" s="22" t="s">
        <v>108</v>
      </c>
      <c r="C49" s="37">
        <v>92</v>
      </c>
      <c r="D49" s="37">
        <v>80</v>
      </c>
      <c r="E49" s="37">
        <v>82</v>
      </c>
      <c r="F49" s="37">
        <v>95</v>
      </c>
      <c r="G49" s="37">
        <v>76</v>
      </c>
      <c r="H49" s="23">
        <v>90</v>
      </c>
      <c r="I49" s="23"/>
      <c r="Q49" s="10" t="s">
        <v>87</v>
      </c>
      <c r="R49">
        <v>6.6006795827528426E-10</v>
      </c>
      <c r="S49" s="11"/>
      <c r="U49" s="22" t="s">
        <v>99</v>
      </c>
      <c r="V49">
        <v>0</v>
      </c>
      <c r="W49" s="23"/>
    </row>
    <row r="50" spans="1:23" ht="15.75" thickBot="1" x14ac:dyDescent="0.3">
      <c r="A50" s="22"/>
      <c r="B50" s="22" t="s">
        <v>109</v>
      </c>
      <c r="C50" s="37">
        <v>75</v>
      </c>
      <c r="D50" s="37">
        <v>76</v>
      </c>
      <c r="E50" s="37">
        <v>87</v>
      </c>
      <c r="F50" s="37">
        <v>84</v>
      </c>
      <c r="G50" s="37">
        <v>74</v>
      </c>
      <c r="H50" s="23">
        <v>93</v>
      </c>
      <c r="I50" s="23"/>
      <c r="Q50" s="10" t="s">
        <v>88</v>
      </c>
      <c r="R50">
        <v>1.7613101357748921</v>
      </c>
      <c r="S50" s="11"/>
      <c r="U50" s="24" t="s">
        <v>100</v>
      </c>
      <c r="V50" s="5">
        <v>1.9599639845400536</v>
      </c>
      <c r="W50" s="25"/>
    </row>
    <row r="51" spans="1:23" x14ac:dyDescent="0.25">
      <c r="A51" s="22"/>
      <c r="B51" s="22" t="s">
        <v>110</v>
      </c>
      <c r="C51" s="37">
        <v>81</v>
      </c>
      <c r="D51" s="37">
        <v>93</v>
      </c>
      <c r="E51" s="37">
        <v>75</v>
      </c>
      <c r="F51" s="37">
        <v>82</v>
      </c>
      <c r="G51" s="37">
        <v>75</v>
      </c>
      <c r="H51" s="23">
        <v>81</v>
      </c>
      <c r="I51" s="23"/>
      <c r="Q51" s="10" t="s">
        <v>89</v>
      </c>
      <c r="R51">
        <v>1.3201359165505685E-9</v>
      </c>
      <c r="S51" s="11"/>
    </row>
    <row r="52" spans="1:23" x14ac:dyDescent="0.25">
      <c r="A52" s="22"/>
      <c r="B52" s="22" t="s">
        <v>111</v>
      </c>
      <c r="C52" s="37">
        <v>73</v>
      </c>
      <c r="D52" s="37">
        <v>92</v>
      </c>
      <c r="E52" s="37">
        <v>89</v>
      </c>
      <c r="F52" s="37">
        <v>86</v>
      </c>
      <c r="G52" s="37">
        <v>77</v>
      </c>
      <c r="H52" s="23">
        <v>89</v>
      </c>
      <c r="I52" s="23"/>
      <c r="Q52" s="14" t="s">
        <v>90</v>
      </c>
      <c r="R52" s="15">
        <v>2.1447866879178044</v>
      </c>
      <c r="S52" s="16"/>
    </row>
    <row r="53" spans="1:23" x14ac:dyDescent="0.25">
      <c r="A53" s="22"/>
      <c r="B53" s="22" t="s">
        <v>112</v>
      </c>
      <c r="C53" s="37">
        <v>71</v>
      </c>
      <c r="D53" s="37">
        <v>89</v>
      </c>
      <c r="E53" s="37">
        <v>83</v>
      </c>
      <c r="F53" s="37">
        <v>70</v>
      </c>
      <c r="G53" s="37">
        <v>84</v>
      </c>
      <c r="H53" s="23">
        <v>84</v>
      </c>
      <c r="I53" s="23"/>
    </row>
    <row r="54" spans="1:23" ht="15.75" thickBot="1" x14ac:dyDescent="0.3">
      <c r="A54" s="22"/>
      <c r="B54" s="24" t="s">
        <v>43</v>
      </c>
      <c r="C54" s="5">
        <v>65</v>
      </c>
      <c r="D54" s="5">
        <v>88</v>
      </c>
      <c r="E54" s="5">
        <v>70</v>
      </c>
      <c r="F54" s="5">
        <v>94</v>
      </c>
      <c r="G54" s="5">
        <v>86</v>
      </c>
      <c r="H54" s="25">
        <v>91</v>
      </c>
      <c r="I54" s="23"/>
    </row>
    <row r="55" spans="1:23" x14ac:dyDescent="0.25">
      <c r="A55" s="22"/>
      <c r="B55" s="37"/>
      <c r="C55" s="37"/>
      <c r="D55" s="37"/>
      <c r="E55" s="37"/>
      <c r="F55" s="37"/>
      <c r="G55" s="37"/>
      <c r="H55" s="37"/>
      <c r="I55" s="23"/>
    </row>
    <row r="56" spans="1:23" ht="15.75" thickBot="1" x14ac:dyDescent="0.3">
      <c r="A56" s="22"/>
      <c r="B56" s="37"/>
      <c r="C56" s="37"/>
      <c r="D56" s="37"/>
      <c r="E56" s="37"/>
      <c r="F56" s="37"/>
      <c r="G56" s="37"/>
      <c r="H56" s="37"/>
      <c r="I56" s="23"/>
    </row>
    <row r="57" spans="1:23" ht="22.5" x14ac:dyDescent="0.45">
      <c r="A57" s="22"/>
      <c r="B57" s="51" t="s">
        <v>50</v>
      </c>
      <c r="C57" s="52"/>
      <c r="D57" s="52"/>
      <c r="E57" s="37"/>
      <c r="F57" s="37"/>
      <c r="G57" s="37"/>
      <c r="H57" s="37"/>
      <c r="I57" s="23"/>
      <c r="K57" s="19"/>
      <c r="L57" s="20"/>
      <c r="M57" s="20"/>
      <c r="N57" s="20"/>
      <c r="O57" s="20"/>
      <c r="P57" s="20"/>
      <c r="Q57" s="20"/>
      <c r="R57" s="21"/>
    </row>
    <row r="58" spans="1:23" x14ac:dyDescent="0.25">
      <c r="A58" s="22"/>
      <c r="B58" s="37"/>
      <c r="C58" s="37"/>
      <c r="D58" s="37"/>
      <c r="E58" s="37"/>
      <c r="F58" s="37"/>
      <c r="G58" s="37"/>
      <c r="H58" s="37"/>
      <c r="I58" s="23"/>
      <c r="K58" s="22"/>
      <c r="L58" s="37"/>
      <c r="M58" s="37"/>
      <c r="N58" s="37"/>
      <c r="O58" s="37"/>
      <c r="P58" s="37"/>
      <c r="Q58" s="37"/>
      <c r="R58" s="23"/>
    </row>
    <row r="59" spans="1:23" x14ac:dyDescent="0.25">
      <c r="A59" s="22"/>
      <c r="B59" s="37" t="s">
        <v>34</v>
      </c>
      <c r="C59" s="37" t="s">
        <v>102</v>
      </c>
      <c r="D59" s="37" t="s">
        <v>103</v>
      </c>
      <c r="E59" s="37" t="s">
        <v>104</v>
      </c>
      <c r="F59" s="37" t="s">
        <v>105</v>
      </c>
      <c r="G59" s="37" t="s">
        <v>106</v>
      </c>
      <c r="H59" s="37" t="s">
        <v>107</v>
      </c>
      <c r="I59" s="23" t="s">
        <v>48</v>
      </c>
      <c r="K59" s="44" t="s">
        <v>115</v>
      </c>
      <c r="L59" s="45" t="s">
        <v>114</v>
      </c>
      <c r="M59" s="37"/>
      <c r="N59" s="37"/>
      <c r="O59" s="37"/>
      <c r="P59" s="37"/>
      <c r="Q59" s="37"/>
      <c r="R59" s="23"/>
    </row>
    <row r="60" spans="1:23" ht="15.75" thickBot="1" x14ac:dyDescent="0.3">
      <c r="A60" s="22"/>
      <c r="B60" s="39" t="s">
        <v>108</v>
      </c>
      <c r="C60" s="39"/>
      <c r="D60" s="39"/>
      <c r="E60" s="39"/>
      <c r="F60" s="39"/>
      <c r="G60" s="39"/>
      <c r="H60" s="39"/>
      <c r="I60" s="42"/>
      <c r="K60" s="44" t="s">
        <v>113</v>
      </c>
      <c r="L60" s="37" t="s">
        <v>16</v>
      </c>
      <c r="M60" s="37" t="s">
        <v>18</v>
      </c>
      <c r="N60" s="37"/>
      <c r="O60" s="37"/>
      <c r="P60" s="37"/>
      <c r="Q60" s="37"/>
      <c r="R60" s="23"/>
    </row>
    <row r="61" spans="1:23" x14ac:dyDescent="0.25">
      <c r="A61" s="22"/>
      <c r="B61" s="38" t="s">
        <v>32</v>
      </c>
      <c r="C61" s="38">
        <v>3</v>
      </c>
      <c r="D61" s="38">
        <v>3</v>
      </c>
      <c r="E61" s="38">
        <v>3</v>
      </c>
      <c r="F61" s="38">
        <v>3</v>
      </c>
      <c r="G61" s="38">
        <v>3</v>
      </c>
      <c r="H61" s="38">
        <v>3</v>
      </c>
      <c r="I61" s="43">
        <v>18</v>
      </c>
      <c r="K61" s="46" t="s">
        <v>15</v>
      </c>
      <c r="L61" s="47">
        <v>4</v>
      </c>
      <c r="M61" s="47">
        <v>4</v>
      </c>
      <c r="N61" s="37"/>
      <c r="O61" s="37"/>
      <c r="P61" s="37"/>
      <c r="Q61" s="37"/>
      <c r="R61" s="23"/>
    </row>
    <row r="62" spans="1:23" x14ac:dyDescent="0.25">
      <c r="A62" s="22"/>
      <c r="B62" s="38" t="s">
        <v>31</v>
      </c>
      <c r="C62" s="38">
        <v>248</v>
      </c>
      <c r="D62" s="38">
        <v>249</v>
      </c>
      <c r="E62" s="38">
        <v>244</v>
      </c>
      <c r="F62" s="38">
        <v>261</v>
      </c>
      <c r="G62" s="38">
        <v>225</v>
      </c>
      <c r="H62" s="38">
        <v>264</v>
      </c>
      <c r="I62" s="43">
        <v>1491</v>
      </c>
      <c r="K62" s="46" t="s">
        <v>19</v>
      </c>
      <c r="L62" s="47">
        <v>1</v>
      </c>
      <c r="M62" s="47">
        <v>1</v>
      </c>
      <c r="N62" s="37"/>
      <c r="O62" s="37"/>
      <c r="P62" s="37"/>
      <c r="Q62" s="37"/>
      <c r="R62" s="23"/>
    </row>
    <row r="63" spans="1:23" x14ac:dyDescent="0.25">
      <c r="A63" s="22"/>
      <c r="B63" s="38" t="s">
        <v>36</v>
      </c>
      <c r="C63" s="38">
        <v>82.666666666666671</v>
      </c>
      <c r="D63" s="38">
        <v>83</v>
      </c>
      <c r="E63" s="38">
        <v>81.333333333333329</v>
      </c>
      <c r="F63" s="38">
        <v>87</v>
      </c>
      <c r="G63" s="38">
        <v>75</v>
      </c>
      <c r="H63" s="38">
        <v>88</v>
      </c>
      <c r="I63" s="43">
        <v>82.833333333333329</v>
      </c>
      <c r="K63" s="46" t="s">
        <v>17</v>
      </c>
      <c r="L63" s="47">
        <v>3</v>
      </c>
      <c r="M63" s="47">
        <v>2</v>
      </c>
      <c r="N63" s="37"/>
      <c r="O63" s="37"/>
      <c r="P63" s="37"/>
      <c r="Q63" s="37"/>
      <c r="R63" s="23"/>
    </row>
    <row r="64" spans="1:23" x14ac:dyDescent="0.25">
      <c r="A64" s="22"/>
      <c r="B64" s="38" t="s">
        <v>37</v>
      </c>
      <c r="C64" s="38">
        <v>74.333333333333343</v>
      </c>
      <c r="D64" s="38">
        <v>79</v>
      </c>
      <c r="E64" s="38">
        <v>36.333333333333329</v>
      </c>
      <c r="F64" s="38">
        <v>49</v>
      </c>
      <c r="G64" s="38">
        <v>1</v>
      </c>
      <c r="H64" s="38">
        <v>39</v>
      </c>
      <c r="I64" s="43">
        <v>51.794117647058833</v>
      </c>
      <c r="K64" s="22"/>
      <c r="L64" s="37"/>
      <c r="M64" s="37"/>
      <c r="N64" s="37"/>
      <c r="O64" s="37"/>
      <c r="P64" s="37"/>
      <c r="Q64" s="37"/>
      <c r="R64" s="23"/>
    </row>
    <row r="65" spans="1:18" x14ac:dyDescent="0.25">
      <c r="A65" s="22"/>
      <c r="B65" s="38"/>
      <c r="C65" s="38"/>
      <c r="D65" s="38"/>
      <c r="E65" s="38"/>
      <c r="F65" s="38"/>
      <c r="G65" s="38"/>
      <c r="H65" s="38"/>
      <c r="I65" s="43"/>
      <c r="K65" s="22"/>
      <c r="L65" s="37"/>
      <c r="M65" s="37"/>
      <c r="N65" s="37"/>
      <c r="O65" s="37"/>
      <c r="P65" s="37"/>
      <c r="Q65" s="37"/>
      <c r="R65" s="23"/>
    </row>
    <row r="66" spans="1:18" ht="15.75" thickBot="1" x14ac:dyDescent="0.3">
      <c r="A66" s="22"/>
      <c r="B66" s="39" t="s">
        <v>111</v>
      </c>
      <c r="C66" s="39"/>
      <c r="D66" s="39"/>
      <c r="E66" s="39"/>
      <c r="F66" s="39"/>
      <c r="G66" s="39"/>
      <c r="H66" s="39"/>
      <c r="I66" s="42"/>
      <c r="K66" s="22"/>
      <c r="L66" s="37"/>
      <c r="M66" s="37"/>
      <c r="N66" s="37"/>
      <c r="O66" s="37"/>
      <c r="P66" s="37"/>
      <c r="Q66" s="37"/>
      <c r="R66" s="23"/>
    </row>
    <row r="67" spans="1:18" ht="22.5" x14ac:dyDescent="0.45">
      <c r="A67" s="22"/>
      <c r="B67" s="38" t="s">
        <v>32</v>
      </c>
      <c r="C67" s="38">
        <v>3</v>
      </c>
      <c r="D67" s="38">
        <v>3</v>
      </c>
      <c r="E67" s="38">
        <v>3</v>
      </c>
      <c r="F67" s="38">
        <v>3</v>
      </c>
      <c r="G67" s="38">
        <v>3</v>
      </c>
      <c r="H67" s="38">
        <v>3</v>
      </c>
      <c r="I67" s="43">
        <v>18</v>
      </c>
      <c r="K67" s="58" t="s">
        <v>55</v>
      </c>
      <c r="L67" s="51"/>
      <c r="M67" s="52"/>
      <c r="N67" s="37"/>
      <c r="O67" s="37"/>
      <c r="P67" s="37"/>
      <c r="Q67" s="37"/>
      <c r="R67" s="23"/>
    </row>
    <row r="68" spans="1:18" ht="15.75" thickBot="1" x14ac:dyDescent="0.3">
      <c r="A68" s="22"/>
      <c r="B68" s="38" t="s">
        <v>31</v>
      </c>
      <c r="C68" s="38">
        <v>209</v>
      </c>
      <c r="D68" s="38">
        <v>269</v>
      </c>
      <c r="E68" s="38">
        <v>242</v>
      </c>
      <c r="F68" s="38">
        <v>250</v>
      </c>
      <c r="G68" s="38">
        <v>247</v>
      </c>
      <c r="H68" s="38">
        <v>264</v>
      </c>
      <c r="I68" s="43">
        <v>1481</v>
      </c>
      <c r="K68" s="22"/>
      <c r="L68" s="37"/>
      <c r="M68" s="37"/>
      <c r="N68" s="37"/>
      <c r="O68" s="37"/>
      <c r="P68" s="37"/>
      <c r="Q68" s="37"/>
      <c r="R68" s="23"/>
    </row>
    <row r="69" spans="1:18" x14ac:dyDescent="0.25">
      <c r="A69" s="22"/>
      <c r="B69" s="38" t="s">
        <v>36</v>
      </c>
      <c r="C69" s="38">
        <v>69.666666666666671</v>
      </c>
      <c r="D69" s="38">
        <v>89.666666666666671</v>
      </c>
      <c r="E69" s="38">
        <v>80.666666666666671</v>
      </c>
      <c r="F69" s="38">
        <v>83.333333333333329</v>
      </c>
      <c r="G69" s="38">
        <v>82.333333333333329</v>
      </c>
      <c r="H69" s="38">
        <v>88</v>
      </c>
      <c r="I69" s="43">
        <v>82.277777777777771</v>
      </c>
      <c r="K69" s="48" t="s">
        <v>34</v>
      </c>
      <c r="L69" s="41" t="s">
        <v>32</v>
      </c>
      <c r="M69" s="41" t="s">
        <v>31</v>
      </c>
      <c r="N69" s="41" t="s">
        <v>36</v>
      </c>
      <c r="O69" s="41" t="s">
        <v>37</v>
      </c>
      <c r="P69" s="37"/>
      <c r="Q69" s="37"/>
      <c r="R69" s="23"/>
    </row>
    <row r="70" spans="1:18" x14ac:dyDescent="0.25">
      <c r="A70" s="22"/>
      <c r="B70" s="38" t="s">
        <v>37</v>
      </c>
      <c r="C70" s="38">
        <v>17.333333333333332</v>
      </c>
      <c r="D70" s="38">
        <v>4.3333333333333339</v>
      </c>
      <c r="E70" s="38">
        <v>94.333333333333343</v>
      </c>
      <c r="F70" s="38">
        <v>149.33333333333394</v>
      </c>
      <c r="G70" s="38">
        <v>22.333333333333332</v>
      </c>
      <c r="H70" s="38">
        <v>13</v>
      </c>
      <c r="I70" s="43">
        <v>79.506535947712322</v>
      </c>
      <c r="K70" s="49" t="s">
        <v>15</v>
      </c>
      <c r="L70" s="38">
        <v>2</v>
      </c>
      <c r="M70" s="38">
        <v>8</v>
      </c>
      <c r="N70" s="38">
        <v>4</v>
      </c>
      <c r="O70" s="38">
        <v>0</v>
      </c>
      <c r="P70" s="37"/>
      <c r="Q70" s="37"/>
      <c r="R70" s="23"/>
    </row>
    <row r="71" spans="1:18" x14ac:dyDescent="0.25">
      <c r="A71" s="22"/>
      <c r="B71" s="38"/>
      <c r="C71" s="38"/>
      <c r="D71" s="38"/>
      <c r="E71" s="38"/>
      <c r="F71" s="38"/>
      <c r="G71" s="38"/>
      <c r="H71" s="38"/>
      <c r="I71" s="43"/>
      <c r="K71" s="49" t="s">
        <v>19</v>
      </c>
      <c r="L71" s="38">
        <v>2</v>
      </c>
      <c r="M71" s="38">
        <v>2</v>
      </c>
      <c r="N71" s="38">
        <v>1</v>
      </c>
      <c r="O71" s="38">
        <v>0</v>
      </c>
      <c r="P71" s="37"/>
      <c r="Q71" s="37"/>
      <c r="R71" s="23"/>
    </row>
    <row r="72" spans="1:18" ht="15.75" thickBot="1" x14ac:dyDescent="0.3">
      <c r="A72" s="22"/>
      <c r="B72" s="39" t="s">
        <v>48</v>
      </c>
      <c r="C72" s="39"/>
      <c r="D72" s="39"/>
      <c r="E72" s="39"/>
      <c r="F72" s="37"/>
      <c r="G72" s="37"/>
      <c r="H72" s="37"/>
      <c r="I72" s="23"/>
      <c r="K72" s="49" t="s">
        <v>17</v>
      </c>
      <c r="L72" s="38">
        <v>2</v>
      </c>
      <c r="M72" s="38">
        <v>5</v>
      </c>
      <c r="N72" s="38">
        <v>2.5</v>
      </c>
      <c r="O72" s="38">
        <v>0.5</v>
      </c>
      <c r="P72" s="37"/>
      <c r="Q72" s="37"/>
      <c r="R72" s="23"/>
    </row>
    <row r="73" spans="1:18" x14ac:dyDescent="0.25">
      <c r="A73" s="22"/>
      <c r="B73" s="38" t="s">
        <v>32</v>
      </c>
      <c r="C73" s="38">
        <v>6</v>
      </c>
      <c r="D73" s="38">
        <v>6</v>
      </c>
      <c r="E73" s="38">
        <v>6</v>
      </c>
      <c r="F73" s="37">
        <v>6</v>
      </c>
      <c r="G73" s="37">
        <v>6</v>
      </c>
      <c r="H73" s="37">
        <v>6</v>
      </c>
      <c r="I73" s="23"/>
      <c r="K73" s="49"/>
      <c r="L73" s="38"/>
      <c r="M73" s="38"/>
      <c r="N73" s="38"/>
      <c r="O73" s="38"/>
      <c r="P73" s="37"/>
      <c r="Q73" s="37"/>
      <c r="R73" s="23"/>
    </row>
    <row r="74" spans="1:18" x14ac:dyDescent="0.25">
      <c r="A74" s="22"/>
      <c r="B74" s="38" t="s">
        <v>31</v>
      </c>
      <c r="C74" s="38">
        <v>457</v>
      </c>
      <c r="D74" s="38">
        <v>518</v>
      </c>
      <c r="E74" s="38">
        <v>486</v>
      </c>
      <c r="F74" s="37">
        <v>511</v>
      </c>
      <c r="G74" s="37">
        <v>472</v>
      </c>
      <c r="H74" s="37">
        <v>528</v>
      </c>
      <c r="I74" s="23"/>
      <c r="K74" s="49" t="s">
        <v>16</v>
      </c>
      <c r="L74" s="38">
        <v>3</v>
      </c>
      <c r="M74" s="38">
        <v>8</v>
      </c>
      <c r="N74" s="38">
        <v>2.6666666666666665</v>
      </c>
      <c r="O74" s="38">
        <v>2.3333333333333339</v>
      </c>
      <c r="P74" s="37"/>
      <c r="Q74" s="37"/>
      <c r="R74" s="23"/>
    </row>
    <row r="75" spans="1:18" ht="15.75" thickBot="1" x14ac:dyDescent="0.3">
      <c r="A75" s="22"/>
      <c r="B75" s="38" t="s">
        <v>36</v>
      </c>
      <c r="C75" s="38">
        <v>76.166666666666671</v>
      </c>
      <c r="D75" s="38">
        <v>86.333333333333329</v>
      </c>
      <c r="E75" s="38">
        <v>81</v>
      </c>
      <c r="F75" s="37">
        <v>85.166666666666671</v>
      </c>
      <c r="G75" s="37">
        <v>78.666666666666671</v>
      </c>
      <c r="H75" s="37">
        <v>88</v>
      </c>
      <c r="I75" s="23"/>
      <c r="K75" s="50" t="s">
        <v>18</v>
      </c>
      <c r="L75" s="40">
        <v>3</v>
      </c>
      <c r="M75" s="40">
        <v>7</v>
      </c>
      <c r="N75" s="40">
        <v>2.3333333333333335</v>
      </c>
      <c r="O75" s="40">
        <v>2.3333333333333339</v>
      </c>
      <c r="P75" s="37"/>
      <c r="Q75" s="37"/>
      <c r="R75" s="23"/>
    </row>
    <row r="76" spans="1:18" x14ac:dyDescent="0.25">
      <c r="A76" s="22"/>
      <c r="B76" s="38" t="s">
        <v>37</v>
      </c>
      <c r="C76" s="38">
        <v>87.366666666667157</v>
      </c>
      <c r="D76" s="38">
        <v>46.666666666666671</v>
      </c>
      <c r="E76" s="38">
        <v>52.4</v>
      </c>
      <c r="F76" s="37">
        <v>83.366666666666674</v>
      </c>
      <c r="G76" s="37">
        <v>25.466666666666669</v>
      </c>
      <c r="H76" s="37">
        <v>20.8</v>
      </c>
      <c r="I76" s="23"/>
      <c r="K76" s="22"/>
      <c r="L76" s="37"/>
      <c r="M76" s="37"/>
      <c r="N76" s="37"/>
      <c r="O76" s="37"/>
      <c r="P76" s="37"/>
      <c r="Q76" s="37"/>
      <c r="R76" s="23"/>
    </row>
    <row r="77" spans="1:18" x14ac:dyDescent="0.25">
      <c r="A77" s="22"/>
      <c r="B77" s="38"/>
      <c r="C77" s="38"/>
      <c r="D77" s="38"/>
      <c r="E77" s="38"/>
      <c r="F77" s="37"/>
      <c r="G77" s="37"/>
      <c r="H77" s="37"/>
      <c r="I77" s="23"/>
      <c r="K77" s="22"/>
      <c r="L77" s="37"/>
      <c r="M77" s="37"/>
      <c r="N77" s="37"/>
      <c r="O77" s="37"/>
      <c r="P77" s="37"/>
      <c r="Q77" s="37"/>
      <c r="R77" s="23"/>
    </row>
    <row r="78" spans="1:18" ht="15.75" thickBot="1" x14ac:dyDescent="0.3">
      <c r="A78" s="22"/>
      <c r="B78" s="37"/>
      <c r="C78" s="37"/>
      <c r="D78" s="37"/>
      <c r="E78" s="37"/>
      <c r="F78" s="37"/>
      <c r="G78" s="37"/>
      <c r="H78" s="37"/>
      <c r="I78" s="23"/>
      <c r="K78" s="22" t="s">
        <v>38</v>
      </c>
      <c r="L78" s="37"/>
      <c r="M78" s="37"/>
      <c r="N78" s="37"/>
      <c r="O78" s="37"/>
      <c r="P78" s="37"/>
      <c r="Q78" s="37"/>
      <c r="R78" s="23"/>
    </row>
    <row r="79" spans="1:18" ht="15.75" thickBot="1" x14ac:dyDescent="0.3">
      <c r="A79" s="22"/>
      <c r="B79" s="37" t="s">
        <v>38</v>
      </c>
      <c r="C79" s="37"/>
      <c r="D79" s="37"/>
      <c r="E79" s="37"/>
      <c r="F79" s="37"/>
      <c r="G79" s="37"/>
      <c r="H79" s="37"/>
      <c r="I79" s="23"/>
      <c r="K79" s="48" t="s">
        <v>39</v>
      </c>
      <c r="L79" s="41" t="s">
        <v>40</v>
      </c>
      <c r="M79" s="41" t="s">
        <v>41</v>
      </c>
      <c r="N79" s="41" t="s">
        <v>42</v>
      </c>
      <c r="O79" s="41" t="s">
        <v>43</v>
      </c>
      <c r="P79" s="41" t="s">
        <v>44</v>
      </c>
      <c r="Q79" s="41" t="s">
        <v>45</v>
      </c>
      <c r="R79" s="23"/>
    </row>
    <row r="80" spans="1:18" x14ac:dyDescent="0.25">
      <c r="A80" s="22"/>
      <c r="B80" s="41" t="s">
        <v>39</v>
      </c>
      <c r="C80" s="41" t="s">
        <v>40</v>
      </c>
      <c r="D80" s="41" t="s">
        <v>41</v>
      </c>
      <c r="E80" s="41" t="s">
        <v>42</v>
      </c>
      <c r="F80" s="41" t="s">
        <v>43</v>
      </c>
      <c r="G80" s="41" t="s">
        <v>44</v>
      </c>
      <c r="H80" s="41" t="s">
        <v>45</v>
      </c>
      <c r="I80" s="23"/>
      <c r="K80" s="49" t="s">
        <v>56</v>
      </c>
      <c r="L80" s="38">
        <v>9</v>
      </c>
      <c r="M80" s="38">
        <v>2</v>
      </c>
      <c r="N80" s="38">
        <v>4.5</v>
      </c>
      <c r="O80" s="38">
        <v>26.999999999999954</v>
      </c>
      <c r="P80" s="38">
        <v>3.5714285714285782E-2</v>
      </c>
      <c r="Q80" s="38">
        <v>18.999999999999996</v>
      </c>
      <c r="R80" s="23"/>
    </row>
    <row r="81" spans="1:18" x14ac:dyDescent="0.25">
      <c r="A81" s="22"/>
      <c r="B81" s="38" t="s">
        <v>51</v>
      </c>
      <c r="C81" s="38">
        <v>2.7777777777778283</v>
      </c>
      <c r="D81" s="38">
        <v>1</v>
      </c>
      <c r="E81" s="38">
        <v>2.7777777777778283</v>
      </c>
      <c r="F81" s="38">
        <v>5.7537399309552234E-2</v>
      </c>
      <c r="G81" s="38">
        <v>0.8124682794574305</v>
      </c>
      <c r="H81" s="38">
        <v>4.2596772726902348</v>
      </c>
      <c r="I81" s="23"/>
      <c r="K81" s="49" t="s">
        <v>52</v>
      </c>
      <c r="L81" s="38">
        <v>0.16666666666666607</v>
      </c>
      <c r="M81" s="38">
        <v>1</v>
      </c>
      <c r="N81" s="38">
        <v>0.16666666666666607</v>
      </c>
      <c r="O81" s="38">
        <v>0.99999999999999467</v>
      </c>
      <c r="P81" s="38">
        <v>0.42264973081037527</v>
      </c>
      <c r="Q81" s="38">
        <v>18.512820512820511</v>
      </c>
      <c r="R81" s="23"/>
    </row>
    <row r="82" spans="1:18" x14ac:dyDescent="0.25">
      <c r="A82" s="22"/>
      <c r="B82" s="38" t="s">
        <v>52</v>
      </c>
      <c r="C82" s="38">
        <v>654.55555555555588</v>
      </c>
      <c r="D82" s="38">
        <v>5</v>
      </c>
      <c r="E82" s="38">
        <v>130.91111111111118</v>
      </c>
      <c r="F82" s="38">
        <v>2.7116225546605301</v>
      </c>
      <c r="G82" s="38">
        <v>4.4354728142587514E-2</v>
      </c>
      <c r="H82" s="38">
        <v>2.6206541478628855</v>
      </c>
      <c r="I82" s="23"/>
      <c r="K82" s="49" t="s">
        <v>57</v>
      </c>
      <c r="L82" s="38">
        <v>0.33333333333333393</v>
      </c>
      <c r="M82" s="38">
        <v>2</v>
      </c>
      <c r="N82" s="38">
        <v>0.16666666666666696</v>
      </c>
      <c r="O82" s="38"/>
      <c r="P82" s="38"/>
      <c r="Q82" s="38"/>
      <c r="R82" s="23"/>
    </row>
    <row r="83" spans="1:18" x14ac:dyDescent="0.25">
      <c r="A83" s="22"/>
      <c r="B83" s="38" t="s">
        <v>53</v>
      </c>
      <c r="C83" s="38">
        <v>418.88888888888846</v>
      </c>
      <c r="D83" s="38">
        <v>5</v>
      </c>
      <c r="E83" s="38">
        <v>83.777777777777686</v>
      </c>
      <c r="F83" s="38">
        <v>1.7353279631760621</v>
      </c>
      <c r="G83" s="38">
        <v>0.16487250111167626</v>
      </c>
      <c r="H83" s="38">
        <v>2.6206541478628855</v>
      </c>
      <c r="I83" s="23"/>
      <c r="K83" s="49"/>
      <c r="L83" s="38"/>
      <c r="M83" s="38"/>
      <c r="N83" s="38"/>
      <c r="O83" s="38"/>
      <c r="P83" s="38"/>
      <c r="Q83" s="38"/>
      <c r="R83" s="23"/>
    </row>
    <row r="84" spans="1:18" ht="15.75" thickBot="1" x14ac:dyDescent="0.3">
      <c r="A84" s="22"/>
      <c r="B84" s="38" t="s">
        <v>54</v>
      </c>
      <c r="C84" s="38">
        <v>1158.666666666667</v>
      </c>
      <c r="D84" s="38">
        <v>24</v>
      </c>
      <c r="E84" s="38">
        <v>48.277777777777793</v>
      </c>
      <c r="F84" s="38"/>
      <c r="G84" s="38"/>
      <c r="H84" s="38"/>
      <c r="I84" s="23"/>
      <c r="K84" s="50" t="s">
        <v>48</v>
      </c>
      <c r="L84" s="40">
        <v>9.5</v>
      </c>
      <c r="M84" s="40">
        <v>5</v>
      </c>
      <c r="N84" s="40"/>
      <c r="O84" s="40"/>
      <c r="P84" s="40"/>
      <c r="Q84" s="40"/>
      <c r="R84" s="25"/>
    </row>
    <row r="85" spans="1:18" x14ac:dyDescent="0.25">
      <c r="A85" s="22"/>
      <c r="B85" s="38"/>
      <c r="C85" s="38"/>
      <c r="D85" s="38"/>
      <c r="E85" s="38"/>
      <c r="F85" s="38"/>
      <c r="G85" s="38"/>
      <c r="H85" s="38"/>
      <c r="I85" s="23"/>
    </row>
    <row r="86" spans="1:18" ht="15.75" thickBot="1" x14ac:dyDescent="0.3">
      <c r="A86" s="22"/>
      <c r="B86" s="40" t="s">
        <v>48</v>
      </c>
      <c r="C86" s="40">
        <v>2234.8888888888891</v>
      </c>
      <c r="D86" s="40">
        <v>35</v>
      </c>
      <c r="E86" s="40"/>
      <c r="F86" s="40"/>
      <c r="G86" s="40"/>
      <c r="H86" s="40"/>
      <c r="I86" s="23"/>
    </row>
    <row r="87" spans="1:18" x14ac:dyDescent="0.25">
      <c r="A87" s="22"/>
      <c r="B87" s="37"/>
      <c r="C87" s="37"/>
      <c r="D87" s="37"/>
      <c r="E87" s="37"/>
      <c r="F87" s="37"/>
      <c r="G87" s="37"/>
      <c r="H87" s="37"/>
      <c r="I87" s="23"/>
    </row>
    <row r="88" spans="1:18" ht="15.75" thickBot="1" x14ac:dyDescent="0.3">
      <c r="A88" s="24"/>
      <c r="B88" s="5"/>
      <c r="C88" s="5"/>
      <c r="D88" s="5"/>
      <c r="E88" s="5"/>
      <c r="F88" s="5"/>
      <c r="G88" s="5"/>
      <c r="H88" s="5"/>
      <c r="I88" s="25"/>
    </row>
  </sheetData>
  <sortState xmlns:xlrd2="http://schemas.microsoft.com/office/spreadsheetml/2017/richdata2" ref="AQ4:AR7">
    <sortCondition descending="1" ref="AR4"/>
  </sortState>
  <pageMargins left="0.7" right="0.7" top="0.75" bottom="0.75" header="0.3" footer="0.3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MITS</dc:creator>
  <cp:lastModifiedBy>MITS</cp:lastModifiedBy>
  <dcterms:created xsi:type="dcterms:W3CDTF">2026-06-05T04:44:33Z</dcterms:created>
  <dcterms:modified xsi:type="dcterms:W3CDTF">2026-06-06T05:05:33Z</dcterms:modified>
</cp:coreProperties>
</file>