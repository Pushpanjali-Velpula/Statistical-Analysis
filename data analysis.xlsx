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1_{CEE15AEB-5ADA-4F98-BE63-9608999B3EBC}" xr6:coauthVersionLast="47" xr6:coauthVersionMax="47" xr10:uidLastSave="{00000000-0000-0000-0000-000000000000}"/>
  <bookViews>
    <workbookView xWindow="-120" yWindow="-120" windowWidth="29040" windowHeight="15720" xr2:uid="{5D0A59FB-4C8A-4573-AB03-CB6BDA7D6E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5" i="1" l="1"/>
  <c r="AI12" i="1"/>
  <c r="AH11" i="1"/>
  <c r="AG10" i="1"/>
  <c r="AF9" i="1"/>
  <c r="AE8" i="1"/>
  <c r="AD7" i="1"/>
  <c r="AC6" i="1"/>
  <c r="S16" i="1"/>
</calcChain>
</file>

<file path=xl/sharedStrings.xml><?xml version="1.0" encoding="utf-8"?>
<sst xmlns="http://schemas.openxmlformats.org/spreadsheetml/2006/main" count="356" uniqueCount="101">
  <si>
    <t>SNO</t>
  </si>
  <si>
    <t>customer_id</t>
  </si>
  <si>
    <t>credit_score</t>
  </si>
  <si>
    <t>country</t>
  </si>
  <si>
    <t>gender</t>
  </si>
  <si>
    <t>age</t>
  </si>
  <si>
    <t>tenure</t>
  </si>
  <si>
    <t>balance</t>
  </si>
  <si>
    <t>credit_card</t>
  </si>
  <si>
    <t>active_member</t>
  </si>
  <si>
    <t>estimated_salary</t>
  </si>
  <si>
    <t>churn</t>
  </si>
  <si>
    <t>Date</t>
  </si>
  <si>
    <t>Time</t>
  </si>
  <si>
    <t>Cost</t>
  </si>
  <si>
    <t>France</t>
  </si>
  <si>
    <t>Female</t>
  </si>
  <si>
    <t>Spain</t>
  </si>
  <si>
    <t>Male</t>
  </si>
  <si>
    <t>Germany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</si>
  <si>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</si>
  <si>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</si>
  <si>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</si>
  <si>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</si>
  <si>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</si>
  <si>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</si>
  <si>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</si>
  <si>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</si>
  <si>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</si>
  <si>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</si>
  <si>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</si>
  <si>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</si>
  <si>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</si>
  <si>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</si>
  <si>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</si>
  <si>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</si>
  <si>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</si>
  <si>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</si>
  <si>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</si>
  <si>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</si>
  <si>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</si>
  <si>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</si>
  <si>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</si>
  <si>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</si>
  <si>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</si>
  <si>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</si>
  <si>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</si>
  <si>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</si>
  <si>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</si>
  <si>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CORRELATION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</si>
  <si>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</si>
  <si>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</si>
  <si>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</si>
  <si>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</si>
  <si>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</si>
  <si>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</si>
  <si>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</si>
  <si>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</si>
  <si>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COVARIANCE</t>
  </si>
  <si>
    <t>DESCRIPTIVE STATISTICS</t>
  </si>
  <si>
    <t>F-Test Two-Sample for Variances</t>
  </si>
  <si>
    <t>Observations</t>
  </si>
  <si>
    <t>P(F&lt;=f) one-tail</t>
  </si>
  <si>
    <t>F Critical one-tail</t>
  </si>
  <si>
    <t>Bin</t>
  </si>
  <si>
    <t>More</t>
  </si>
  <si>
    <t>Frequency</t>
  </si>
  <si>
    <t>Cumulative %</t>
  </si>
  <si>
    <t>SUMMARY OUTPUT</t>
  </si>
  <si>
    <t>Regression Statistics</t>
  </si>
  <si>
    <t>Multiple R</t>
  </si>
  <si>
    <t>R Square</t>
  </si>
  <si>
    <t>Adjusted R Square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</si>
  <si>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</si>
  <si>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</si>
  <si>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</si>
  <si>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</si>
  <si>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</si>
  <si>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</si>
  <si>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</si>
  <si>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</si>
  <si>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95.0%</t>
  </si>
  <si>
    <t>Upper 95.0%</t>
  </si>
  <si>
    <t>Confidence Level(95.0%)</t>
  </si>
  <si>
    <t>t-Test: Paired Two Sample for Means</t>
  </si>
  <si>
    <t>Pearson Correlation</t>
  </si>
  <si>
    <t>Hypothesized Mean Difference</t>
  </si>
  <si>
    <t>P(T&lt;=t) one-tail</t>
  </si>
  <si>
    <t>t Critical one-tail</t>
  </si>
  <si>
    <t>P(T&lt;=t) two-tail</t>
  </si>
  <si>
    <t>t Critical two-tail</t>
  </si>
  <si>
    <t>t-Test: Two-Sample Assuming Equal Variances</t>
  </si>
  <si>
    <t>Pooled Variance</t>
  </si>
  <si>
    <t>t-Test: Two-Sample Assuming Unequal Variances</t>
  </si>
  <si>
    <t>z-Test: Two Sample for Means</t>
  </si>
  <si>
    <t>Known Variance</t>
  </si>
  <si>
    <t>z</t>
  </si>
  <si>
    <t>P(Z&lt;=z) one-tail</t>
  </si>
  <si>
    <t>z Critical one-tail</t>
  </si>
  <si>
    <t>P(Z&lt;=z) two-tail</t>
  </si>
  <si>
    <t>z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</si>
</sst>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7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4"/>
      <color theme="1"/>
      <name val="Bahnschrift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1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0" fillId="0" borderId="5" xfId="0" applyFill="1" applyBorder="1" applyAlignment="1"/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0" fillId="0" borderId="0" xfId="0" applyFill="1" applyBorder="1" applyAlignment="1"/>
    <xf numFmtId="0" fontId="2" fillId="0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3" fillId="0" borderId="15" xfId="0" applyFont="1" applyFill="1" applyBorder="1" applyAlignment="1">
      <alignment horizontal="right"/>
    </xf>
    <xf numFmtId="0" fontId="0" fillId="0" borderId="12" xfId="0" applyFill="1" applyBorder="1" applyAlignment="1"/>
    <xf numFmtId="0" fontId="0" fillId="0" borderId="13" xfId="0" applyFill="1" applyBorder="1" applyAlignment="1"/>
    <xf numFmtId="0" fontId="2" fillId="0" borderId="16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0" fillId="0" borderId="3" xfId="0" applyFill="1" applyBorder="1" applyAlignment="1"/>
    <xf numFmtId="0" fontId="0" fillId="0" borderId="14" xfId="0" applyFill="1" applyBorder="1" applyAlignment="1"/>
    <xf numFmtId="0" fontId="0" fillId="0" borderId="1" xfId="0" applyFill="1" applyBorder="1" applyAlignment="1"/>
    <xf numFmtId="10" fontId="0" fillId="0" borderId="0" xfId="0" applyNumberFormat="1" applyFill="1" applyBorder="1" applyAlignment="1"/>
    <xf numFmtId="0" fontId="0" fillId="0" borderId="0" xfId="0" applyNumberFormat="1" applyFill="1" applyBorder="1" applyAlignment="1"/>
    <xf numFmtId="10" fontId="0" fillId="0" borderId="5" xfId="0" applyNumberFormat="1" applyFill="1" applyBorder="1" applyAlignment="1"/>
    <xf numFmtId="0" fontId="0" fillId="0" borderId="5" xfId="0" applyNumberFormat="1" applyFill="1" applyBorder="1" applyAlignment="1"/>
    <xf numFmtId="0" fontId="0" fillId="0" borderId="18" xfId="0" applyBorder="1"/>
    <xf numFmtId="0" fontId="4" fillId="0" borderId="4" xfId="0" applyFont="1" applyBorder="1"/>
    <xf numFmtId="0" fontId="0" fillId="0" borderId="4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23" xfId="0" applyBorder="1"/>
    <xf numFmtId="0" fontId="3" fillId="0" borderId="24" xfId="0" applyFont="1" applyFill="1" applyBorder="1" applyAlignment="1">
      <alignment horizontal="right"/>
    </xf>
    <xf numFmtId="0" fontId="0" fillId="0" borderId="20" xfId="0" applyFill="1" applyBorder="1" applyAlignment="1"/>
    <xf numFmtId="0" fontId="0" fillId="0" borderId="21" xfId="0" applyFill="1" applyBorder="1" applyAlignment="1"/>
    <xf numFmtId="0" fontId="2" fillId="0" borderId="25" xfId="0" applyFont="1" applyFill="1" applyBorder="1" applyAlignment="1">
      <alignment horizontal="center"/>
    </xf>
    <xf numFmtId="0" fontId="0" fillId="0" borderId="22" xfId="0" applyFill="1" applyBorder="1" applyAlignment="1"/>
    <xf numFmtId="0" fontId="2" fillId="0" borderId="26" xfId="0" applyFont="1" applyFill="1" applyBorder="1" applyAlignment="1">
      <alignment horizontal="center"/>
    </xf>
    <xf numFmtId="0" fontId="0" fillId="0" borderId="23" xfId="0" applyFill="1" applyBorder="1" applyAlignment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0" borderId="32" xfId="0" applyFont="1" applyFill="1" applyBorder="1" applyAlignment="1">
      <alignment horizontal="center"/>
    </xf>
    <xf numFmtId="0" fontId="2" fillId="0" borderId="33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numFmt numFmtId="164" formatCode="yyyy/mm/dd;@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Sheet1!$AT$4:$AT$7</c:f>
              <c:strCache>
                <c:ptCount val="4"/>
                <c:pt idx="0">
                  <c:v>More</c:v>
                </c:pt>
                <c:pt idx="1">
                  <c:v>41.33333333</c:v>
                </c:pt>
                <c:pt idx="2">
                  <c:v>32.66666667</c:v>
                </c:pt>
                <c:pt idx="3">
                  <c:v>24</c:v>
                </c:pt>
              </c:strCache>
            </c:strRef>
          </c:cat>
          <c:val>
            <c:numRef>
              <c:f>Sheet1!$AU$4:$AU$7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FD-4D10-B7E6-CEDF5DAD4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5375600"/>
        <c:axId val="1107923184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Sheet1!$AT$4:$AT$7</c:f>
              <c:strCache>
                <c:ptCount val="4"/>
                <c:pt idx="0">
                  <c:v>More</c:v>
                </c:pt>
                <c:pt idx="1">
                  <c:v>41.33333333</c:v>
                </c:pt>
                <c:pt idx="2">
                  <c:v>32.66666667</c:v>
                </c:pt>
                <c:pt idx="3">
                  <c:v>24</c:v>
                </c:pt>
              </c:strCache>
            </c:strRef>
          </c:cat>
          <c:val>
            <c:numRef>
              <c:f>Sheet1!$AV$4:$AV$7</c:f>
              <c:numCache>
                <c:formatCode>0.00%</c:formatCode>
                <c:ptCount val="4"/>
                <c:pt idx="0">
                  <c:v>0.4</c:v>
                </c:pt>
                <c:pt idx="1">
                  <c:v>0.66666666666666663</c:v>
                </c:pt>
                <c:pt idx="2">
                  <c:v>0.8666666666666667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FD-4D10-B7E6-CEDF5DAD4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6637712"/>
        <c:axId val="1107920304"/>
      </c:lineChart>
      <c:catAx>
        <c:axId val="1105375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7923184"/>
        <c:crosses val="autoZero"/>
        <c:auto val="1"/>
        <c:lblAlgn val="ctr"/>
        <c:lblOffset val="100"/>
        <c:noMultiLvlLbl val="0"/>
      </c:catAx>
      <c:valAx>
        <c:axId val="11079231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5375600"/>
        <c:crosses val="autoZero"/>
        <c:crossBetween val="between"/>
      </c:valAx>
      <c:valAx>
        <c:axId val="11079203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116637712"/>
        <c:crosses val="max"/>
        <c:crossBetween val="between"/>
      </c:valAx>
      <c:catAx>
        <c:axId val="1116637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7920304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457199</xdr:colOff>
      <xdr:row>9</xdr:row>
      <xdr:rowOff>66675</xdr:rowOff>
    </xdr:from>
    <xdr:to>
      <xdr:col>48</xdr:col>
      <xdr:colOff>333374</xdr:colOff>
      <xdr:row>23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B19B02-007D-8A91-2662-3C870ED88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F920F8-14A4-45A4-8AE0-BFBB803219B8}" name="Table1" displayName="Table1" ref="C4:Q19" totalsRowShown="0" headerRowDxfId="2" headerRowBorderDxfId="1" dataCellStyle="Normal">
  <autoFilter ref="C4:Q19" xr:uid="{48F920F8-14A4-45A4-8AE0-BFBB803219B8}"/>
  <tableColumns count="15">
    <tableColumn id="1" xr3:uid="{D6079AC7-C7A3-40C5-B47B-7BCDB59F5ADA}" name="SNO" dataCellStyle="Normal"/>
    <tableColumn id="2" xr3:uid="{D01DF06C-10B4-4938-B7D5-1302ACE63F9B}" name="customer_id" dataCellStyle="Normal"/>
    <tableColumn id="3" xr3:uid="{E5037C35-1B09-4DFE-9E37-FD533FF1258F}" name="credit_score" dataCellStyle="Normal"/>
    <tableColumn id="4" xr3:uid="{008ED9CB-E0F8-4B1E-8B36-E3B9E9CC0D6D}" name="country" dataCellStyle="Normal"/>
    <tableColumn id="5" xr3:uid="{2BE7563C-92A8-424D-9A32-4560B95200EB}" name="gender" dataCellStyle="Normal"/>
    <tableColumn id="6" xr3:uid="{C071CD8C-3DE2-4EAA-A670-301A93DEBDF9}" name="age" dataCellStyle="Normal"/>
    <tableColumn id="7" xr3:uid="{C5B1AA24-AC46-44B9-938B-BC55E4F45AF8}" name="tenure" dataCellStyle="Normal"/>
    <tableColumn id="8" xr3:uid="{52E5C7B9-3A80-4D47-8C33-DFFA275C9698}" name="balance" dataCellStyle="Normal"/>
    <tableColumn id="9" xr3:uid="{5CEE8391-8147-4641-AF50-FB814B0259CD}" name="credit_card" dataCellStyle="Normal"/>
    <tableColumn id="10" xr3:uid="{A5C4686D-D843-49B4-975D-1121C9DFD769}" name="active_member" dataCellStyle="Normal"/>
    <tableColumn id="11" xr3:uid="{17484D3C-55C7-4885-B9DC-7116C041975F}" name="estimated_salary" dataCellStyle="Normal"/>
    <tableColumn id="12" xr3:uid="{39B5E587-F051-4B3E-9847-4C81C1EEF4CD}" name="churn" dataCellStyle="Normal"/>
    <tableColumn id="13" xr3:uid="{637B5CC9-B0C0-4C5D-88AF-F14169FD2FEF}" name="Date" dataDxfId="0" dataCellStyle="Normal"/>
    <tableColumn id="14" xr3:uid="{E163EB74-ECF1-47B0-BD61-562E3C005960}" name="Time" dataCellStyle="Normal"/>
    <tableColumn id="15" xr3:uid="{95FB0A3C-9B0D-4B76-BE3B-2302255B2AE2}" name="Cost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83FA-2B41-421C-8C0F-D758E477F569}">
  <dimension ref="A1:BA68"/>
  <sheetViews>
    <sheetView tabSelected="1" topLeftCell="X10" zoomScale="85" zoomScaleNormal="85" workbookViewId="0">
      <selection activeCell="S22" sqref="S22"/>
    </sheetView>
  </sheetViews>
  <sheetFormatPr defaultRowHeight="15" x14ac:dyDescent="0.25"/>
  <cols>
    <col min="2" max="2" width="15.28515625" customWidth="1"/>
    <col min="3" max="3" width="14.42578125" customWidth="1"/>
    <col min="4" max="4" width="15.28515625" customWidth="1"/>
    <col min="8" max="8" width="14.85546875" customWidth="1"/>
    <col min="9" max="9" width="13" customWidth="1"/>
    <col min="10" max="10" width="19" customWidth="1"/>
    <col min="11" max="11" width="10.42578125" customWidth="1"/>
    <col min="12" max="12" width="19.42578125" customWidth="1"/>
    <col min="13" max="13" width="12.85546875" customWidth="1"/>
    <col min="15" max="15" width="12.28515625" customWidth="1"/>
    <col min="19" max="19" width="15.28515625" customWidth="1"/>
    <col min="20" max="20" width="13.42578125" customWidth="1"/>
    <col min="21" max="21" width="18.5703125" customWidth="1"/>
    <col min="22" max="22" width="13.85546875" customWidth="1"/>
    <col min="23" max="23" width="11" customWidth="1"/>
    <col min="24" max="24" width="13.42578125" customWidth="1"/>
    <col min="25" max="25" width="13" customWidth="1"/>
    <col min="39" max="39" width="16.28515625" customWidth="1"/>
    <col min="43" max="43" width="12.5703125" customWidth="1"/>
    <col min="44" max="44" width="10.5703125" customWidth="1"/>
    <col min="45" max="45" width="12.7109375" customWidth="1"/>
    <col min="46" max="46" width="13.140625" customWidth="1"/>
    <col min="48" max="48" width="12.42578125" customWidth="1"/>
    <col min="51" max="51" width="16.7109375" customWidth="1"/>
    <col min="53" max="53" width="12" customWidth="1"/>
  </cols>
  <sheetData>
    <row r="1" spans="3:49" ht="15.75" thickBot="1" x14ac:dyDescent="0.3"/>
    <row r="2" spans="3:49" ht="15.75" thickBot="1" x14ac:dyDescent="0.3">
      <c r="AP2" s="29"/>
      <c r="AQ2" s="31"/>
      <c r="AR2" s="31"/>
      <c r="AS2" s="31"/>
      <c r="AT2" s="31"/>
      <c r="AU2" s="31"/>
      <c r="AV2" s="31"/>
      <c r="AW2" s="32"/>
    </row>
    <row r="3" spans="3:49" x14ac:dyDescent="0.25">
      <c r="S3" s="29"/>
      <c r="T3" s="31" t="s">
        <v>49</v>
      </c>
      <c r="U3" s="31"/>
      <c r="V3" s="31"/>
      <c r="W3" s="31"/>
      <c r="X3" s="31"/>
      <c r="Y3" s="31"/>
      <c r="Z3" s="32"/>
      <c r="AB3" s="29"/>
      <c r="AC3" s="31"/>
      <c r="AD3" s="31" t="s">
        <v>58</v>
      </c>
      <c r="AE3" s="31"/>
      <c r="AF3" s="31"/>
      <c r="AG3" s="31"/>
      <c r="AH3" s="31"/>
      <c r="AI3" s="32"/>
      <c r="AK3" s="29" t="s">
        <v>60</v>
      </c>
      <c r="AL3" s="31"/>
      <c r="AM3" s="32"/>
      <c r="AP3" s="33"/>
      <c r="AQ3" s="7" t="s">
        <v>64</v>
      </c>
      <c r="AR3" s="7" t="s">
        <v>66</v>
      </c>
      <c r="AS3" s="7" t="s">
        <v>67</v>
      </c>
      <c r="AT3" s="7" t="s">
        <v>64</v>
      </c>
      <c r="AU3" s="7" t="s">
        <v>66</v>
      </c>
      <c r="AV3" s="7" t="s">
        <v>67</v>
      </c>
      <c r="AW3" s="34"/>
    </row>
    <row r="4" spans="3:49" ht="15.75" thickBot="1" x14ac:dyDescent="0.3">
      <c r="C4" s="1" t="s">
        <v>0</v>
      </c>
      <c r="D4" s="2" t="s">
        <v>1</v>
      </c>
      <c r="E4" s="2" t="s">
        <v>2</v>
      </c>
      <c r="F4" s="3" t="s">
        <v>3</v>
      </c>
      <c r="G4" s="3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4" t="s">
        <v>11</v>
      </c>
      <c r="O4" s="2" t="s">
        <v>12</v>
      </c>
      <c r="P4" s="2" t="s">
        <v>13</v>
      </c>
      <c r="Q4" s="2" t="s">
        <v>14</v>
      </c>
      <c r="S4" s="33"/>
      <c r="T4" s="15"/>
      <c r="U4" s="15"/>
      <c r="V4" s="15"/>
      <c r="W4" s="15"/>
      <c r="X4" s="15"/>
      <c r="Y4" s="15"/>
      <c r="Z4" s="34"/>
      <c r="AB4" s="33"/>
      <c r="AC4" s="15"/>
      <c r="AD4" s="15"/>
      <c r="AE4" s="15"/>
      <c r="AF4" s="15"/>
      <c r="AG4" s="15"/>
      <c r="AH4" s="15"/>
      <c r="AI4" s="34"/>
      <c r="AK4" s="33"/>
      <c r="AL4" s="15"/>
      <c r="AM4" s="34"/>
      <c r="AP4" s="33"/>
      <c r="AQ4" s="8">
        <v>24</v>
      </c>
      <c r="AR4" s="8">
        <v>2</v>
      </c>
      <c r="AS4" s="25">
        <v>0.13333333333333333</v>
      </c>
      <c r="AT4" s="26" t="s">
        <v>65</v>
      </c>
      <c r="AU4" s="8">
        <v>6</v>
      </c>
      <c r="AV4" s="25">
        <v>0.4</v>
      </c>
      <c r="AW4" s="34"/>
    </row>
    <row r="5" spans="3:49" x14ac:dyDescent="0.25">
      <c r="C5">
        <v>1</v>
      </c>
      <c r="D5">
        <v>15634602</v>
      </c>
      <c r="E5">
        <v>619</v>
      </c>
      <c r="F5" t="s">
        <v>15</v>
      </c>
      <c r="G5" t="s">
        <v>16</v>
      </c>
      <c r="H5">
        <v>42</v>
      </c>
      <c r="I5">
        <v>2</v>
      </c>
      <c r="J5">
        <v>1000</v>
      </c>
      <c r="K5">
        <v>1</v>
      </c>
      <c r="L5">
        <v>1</v>
      </c>
      <c r="M5">
        <v>101348.88</v>
      </c>
      <c r="N5">
        <v>1</v>
      </c>
      <c r="O5" s="52">
        <v>46177</v>
      </c>
      <c r="P5">
        <v>0.44791666666666669</v>
      </c>
      <c r="Q5">
        <v>45753</v>
      </c>
      <c r="S5" s="45"/>
      <c r="T5" s="10" t="s">
        <v>5</v>
      </c>
      <c r="U5" s="10" t="s">
        <v>6</v>
      </c>
      <c r="V5" s="10" t="s">
        <v>7</v>
      </c>
      <c r="W5" s="10" t="s">
        <v>8</v>
      </c>
      <c r="X5" s="10" t="s">
        <v>9</v>
      </c>
      <c r="Y5" s="10" t="s">
        <v>10</v>
      </c>
      <c r="Z5" s="46" t="s">
        <v>11</v>
      </c>
      <c r="AB5" s="50"/>
      <c r="AC5" s="6" t="s">
        <v>5</v>
      </c>
      <c r="AD5" s="6" t="s">
        <v>6</v>
      </c>
      <c r="AE5" s="6" t="s">
        <v>7</v>
      </c>
      <c r="AF5" s="6" t="s">
        <v>8</v>
      </c>
      <c r="AG5" s="6" t="s">
        <v>9</v>
      </c>
      <c r="AH5" s="6" t="s">
        <v>10</v>
      </c>
      <c r="AI5" s="51" t="s">
        <v>11</v>
      </c>
      <c r="AK5" s="41"/>
      <c r="AL5" s="7" t="s">
        <v>7</v>
      </c>
      <c r="AM5" s="43" t="s">
        <v>10</v>
      </c>
      <c r="AP5" s="33"/>
      <c r="AQ5" s="8">
        <v>32.666666666666664</v>
      </c>
      <c r="AR5" s="8">
        <v>3</v>
      </c>
      <c r="AS5" s="25">
        <v>0.33333333333333331</v>
      </c>
      <c r="AT5" s="26">
        <v>41.333333333333329</v>
      </c>
      <c r="AU5" s="8">
        <v>4</v>
      </c>
      <c r="AV5" s="25">
        <v>0.66666666666666663</v>
      </c>
      <c r="AW5" s="34"/>
    </row>
    <row r="6" spans="3:49" x14ac:dyDescent="0.25">
      <c r="C6">
        <v>2</v>
      </c>
      <c r="D6">
        <v>15647311</v>
      </c>
      <c r="E6">
        <v>608</v>
      </c>
      <c r="F6" t="s">
        <v>17</v>
      </c>
      <c r="G6" t="s">
        <v>16</v>
      </c>
      <c r="H6">
        <v>41</v>
      </c>
      <c r="I6">
        <v>1</v>
      </c>
      <c r="J6">
        <v>20000</v>
      </c>
      <c r="K6">
        <v>0</v>
      </c>
      <c r="L6">
        <v>1</v>
      </c>
      <c r="M6">
        <v>112542.58</v>
      </c>
      <c r="N6">
        <v>0</v>
      </c>
      <c r="O6" s="52">
        <v>46178</v>
      </c>
      <c r="P6">
        <v>0.48958333333333331</v>
      </c>
      <c r="Q6">
        <v>97356</v>
      </c>
      <c r="S6" s="45" t="s">
        <v>5</v>
      </c>
      <c r="T6" s="10">
        <v>1</v>
      </c>
      <c r="U6" s="10"/>
      <c r="V6" s="10"/>
      <c r="W6" s="10"/>
      <c r="X6" s="10"/>
      <c r="Y6" s="10"/>
      <c r="Z6" s="46"/>
      <c r="AB6" s="39" t="s">
        <v>5</v>
      </c>
      <c r="AC6" s="8">
        <f>VARP(Sheet1!$H$5:$H$19)</f>
        <v>64.16</v>
      </c>
      <c r="AD6" s="8"/>
      <c r="AE6" s="8"/>
      <c r="AF6" s="8"/>
      <c r="AG6" s="8"/>
      <c r="AH6" s="8"/>
      <c r="AI6" s="40"/>
      <c r="AK6" s="39" t="s">
        <v>20</v>
      </c>
      <c r="AL6" s="8">
        <v>46750</v>
      </c>
      <c r="AM6" s="40">
        <v>91080.528666666665</v>
      </c>
      <c r="AP6" s="33"/>
      <c r="AQ6" s="8">
        <v>41.333333333333329</v>
      </c>
      <c r="AR6" s="8">
        <v>4</v>
      </c>
      <c r="AS6" s="25">
        <v>0.6</v>
      </c>
      <c r="AT6" s="26">
        <v>32.666666666666664</v>
      </c>
      <c r="AU6" s="8">
        <v>3</v>
      </c>
      <c r="AV6" s="25">
        <v>0.8666666666666667</v>
      </c>
      <c r="AW6" s="34"/>
    </row>
    <row r="7" spans="3:49" ht="15.75" thickBot="1" x14ac:dyDescent="0.3">
      <c r="C7">
        <v>3</v>
      </c>
      <c r="D7">
        <v>15619304</v>
      </c>
      <c r="E7">
        <v>502</v>
      </c>
      <c r="F7" t="s">
        <v>15</v>
      </c>
      <c r="G7" t="s">
        <v>16</v>
      </c>
      <c r="H7">
        <v>24</v>
      </c>
      <c r="I7">
        <v>8</v>
      </c>
      <c r="J7">
        <v>30000</v>
      </c>
      <c r="K7">
        <v>1</v>
      </c>
      <c r="L7">
        <v>0</v>
      </c>
      <c r="M7">
        <v>113931.57</v>
      </c>
      <c r="N7">
        <v>1</v>
      </c>
      <c r="O7" s="52">
        <v>46179</v>
      </c>
      <c r="P7">
        <v>0.49652777777777779</v>
      </c>
      <c r="Q7">
        <v>4564</v>
      </c>
      <c r="S7" s="45" t="s">
        <v>6</v>
      </c>
      <c r="T7" s="10">
        <v>-5.4027799000000001E-2</v>
      </c>
      <c r="U7" s="10">
        <v>1</v>
      </c>
      <c r="V7" s="10"/>
      <c r="W7" s="10"/>
      <c r="X7" s="10"/>
      <c r="Y7" s="10"/>
      <c r="Z7" s="46"/>
      <c r="AB7" s="39" t="s">
        <v>6</v>
      </c>
      <c r="AC7" s="8">
        <v>-1.2</v>
      </c>
      <c r="AD7" s="8">
        <f>VARP(Sheet1!$I$5:$I$19)</f>
        <v>7.6888888888888891</v>
      </c>
      <c r="AE7" s="8"/>
      <c r="AF7" s="8"/>
      <c r="AG7" s="8"/>
      <c r="AH7" s="8"/>
      <c r="AI7" s="40"/>
      <c r="AK7" s="39" t="s">
        <v>37</v>
      </c>
      <c r="AL7" s="8">
        <v>633240053.14285719</v>
      </c>
      <c r="AM7" s="40">
        <v>1985977921.2895105</v>
      </c>
      <c r="AP7" s="33"/>
      <c r="AQ7" s="5" t="s">
        <v>65</v>
      </c>
      <c r="AR7" s="5">
        <v>6</v>
      </c>
      <c r="AS7" s="27">
        <v>1</v>
      </c>
      <c r="AT7" s="28">
        <v>24</v>
      </c>
      <c r="AU7" s="5">
        <v>2</v>
      </c>
      <c r="AV7" s="27">
        <v>1</v>
      </c>
      <c r="AW7" s="34"/>
    </row>
    <row r="8" spans="3:49" x14ac:dyDescent="0.25">
      <c r="C8">
        <v>4</v>
      </c>
      <c r="D8">
        <v>15701354</v>
      </c>
      <c r="E8">
        <v>699</v>
      </c>
      <c r="F8" t="s">
        <v>15</v>
      </c>
      <c r="G8" t="s">
        <v>16</v>
      </c>
      <c r="H8">
        <v>39</v>
      </c>
      <c r="I8">
        <v>1</v>
      </c>
      <c r="J8">
        <v>40000</v>
      </c>
      <c r="K8">
        <v>0</v>
      </c>
      <c r="L8">
        <v>0</v>
      </c>
      <c r="M8">
        <v>93826.63</v>
      </c>
      <c r="N8">
        <v>0</v>
      </c>
      <c r="O8" s="52">
        <v>46180</v>
      </c>
      <c r="P8">
        <v>0.51041666666666663</v>
      </c>
      <c r="Q8">
        <v>7736</v>
      </c>
      <c r="S8" s="45" t="s">
        <v>7</v>
      </c>
      <c r="T8" s="10">
        <v>-6.2251394000000002E-2</v>
      </c>
      <c r="U8" s="10">
        <v>0.29330875000000001</v>
      </c>
      <c r="V8" s="10">
        <v>1</v>
      </c>
      <c r="W8" s="10"/>
      <c r="X8" s="10"/>
      <c r="Y8" s="10"/>
      <c r="Z8" s="46"/>
      <c r="AB8" s="39" t="s">
        <v>7</v>
      </c>
      <c r="AC8" s="8">
        <v>-12122.266666666665</v>
      </c>
      <c r="AD8" s="8">
        <v>19772.400000000005</v>
      </c>
      <c r="AE8" s="8">
        <f>VARP(Sheet1!$J$5:$J$19)</f>
        <v>591024049.60000002</v>
      </c>
      <c r="AF8" s="8"/>
      <c r="AG8" s="8"/>
      <c r="AH8" s="8"/>
      <c r="AI8" s="40"/>
      <c r="AK8" s="39" t="s">
        <v>61</v>
      </c>
      <c r="AL8" s="8">
        <v>15</v>
      </c>
      <c r="AM8" s="40">
        <v>15</v>
      </c>
      <c r="AP8" s="33"/>
      <c r="AQ8" s="15"/>
      <c r="AR8" s="15"/>
      <c r="AS8" s="15"/>
      <c r="AT8" s="15"/>
      <c r="AU8" s="15"/>
      <c r="AV8" s="15"/>
      <c r="AW8" s="34"/>
    </row>
    <row r="9" spans="3:49" x14ac:dyDescent="0.25">
      <c r="C9">
        <v>5</v>
      </c>
      <c r="D9">
        <v>15737888</v>
      </c>
      <c r="E9">
        <v>850</v>
      </c>
      <c r="F9" t="s">
        <v>17</v>
      </c>
      <c r="G9" t="s">
        <v>16</v>
      </c>
      <c r="H9">
        <v>43</v>
      </c>
      <c r="I9">
        <v>2</v>
      </c>
      <c r="J9">
        <v>50000</v>
      </c>
      <c r="K9">
        <v>1</v>
      </c>
      <c r="L9">
        <v>1</v>
      </c>
      <c r="M9">
        <v>79084.100000000006</v>
      </c>
      <c r="N9">
        <v>0</v>
      </c>
      <c r="O9" s="52">
        <v>46181</v>
      </c>
      <c r="P9">
        <v>6.25E-2</v>
      </c>
      <c r="Q9">
        <v>8365</v>
      </c>
      <c r="S9" s="45" t="s">
        <v>8</v>
      </c>
      <c r="T9" s="10">
        <v>-0.28248982099999997</v>
      </c>
      <c r="U9" s="10">
        <v>0.32300969000000002</v>
      </c>
      <c r="V9" s="10">
        <v>-9.4401179000000002E-2</v>
      </c>
      <c r="W9" s="10">
        <v>1</v>
      </c>
      <c r="X9" s="10"/>
      <c r="Y9" s="10"/>
      <c r="Z9" s="46"/>
      <c r="AB9" s="39" t="s">
        <v>8</v>
      </c>
      <c r="AC9" s="8">
        <v>-1.0666666666666667</v>
      </c>
      <c r="AD9" s="8">
        <v>0.42222222222222228</v>
      </c>
      <c r="AE9" s="8">
        <v>-1081.866666666667</v>
      </c>
      <c r="AF9" s="8">
        <f>VARP(Sheet1!$K$5:$K$19)</f>
        <v>0.22222222222222221</v>
      </c>
      <c r="AG9" s="8"/>
      <c r="AH9" s="8"/>
      <c r="AI9" s="40"/>
      <c r="AK9" s="39" t="s">
        <v>41</v>
      </c>
      <c r="AL9" s="8">
        <v>14</v>
      </c>
      <c r="AM9" s="40">
        <v>14</v>
      </c>
      <c r="AP9" s="33"/>
      <c r="AQ9" s="15"/>
      <c r="AR9" s="15"/>
      <c r="AS9" s="15"/>
      <c r="AT9" s="15"/>
      <c r="AU9" s="15"/>
      <c r="AV9" s="15"/>
      <c r="AW9" s="34"/>
    </row>
    <row r="10" spans="3:49" x14ac:dyDescent="0.25">
      <c r="C10">
        <v>6</v>
      </c>
      <c r="D10">
        <v>15574012</v>
      </c>
      <c r="E10">
        <v>645</v>
      </c>
      <c r="F10" t="s">
        <v>17</v>
      </c>
      <c r="G10" t="s">
        <v>18</v>
      </c>
      <c r="H10">
        <v>44</v>
      </c>
      <c r="I10">
        <v>8</v>
      </c>
      <c r="J10">
        <v>40000</v>
      </c>
      <c r="K10">
        <v>1</v>
      </c>
      <c r="L10">
        <v>0</v>
      </c>
      <c r="M10">
        <v>149756.71</v>
      </c>
      <c r="N10">
        <v>1</v>
      </c>
      <c r="O10" s="52">
        <v>46182</v>
      </c>
      <c r="P10">
        <v>7.6388888888888895E-2</v>
      </c>
      <c r="Q10">
        <v>893</v>
      </c>
      <c r="S10" s="45" t="s">
        <v>9</v>
      </c>
      <c r="T10" s="10">
        <v>0.40706488000000002</v>
      </c>
      <c r="U10" s="10">
        <v>-0.369471357</v>
      </c>
      <c r="V10" s="10">
        <v>3.6597143999999998E-2</v>
      </c>
      <c r="W10" s="10">
        <v>9.4491117999999999E-2</v>
      </c>
      <c r="X10" s="10">
        <v>1</v>
      </c>
      <c r="Y10" s="10"/>
      <c r="Z10" s="46"/>
      <c r="AB10" s="39" t="s">
        <v>9</v>
      </c>
      <c r="AC10" s="8">
        <v>1.6266666666666665</v>
      </c>
      <c r="AD10" s="8">
        <v>-0.51111111111111118</v>
      </c>
      <c r="AE10" s="8">
        <v>443.86666666666667</v>
      </c>
      <c r="AF10" s="8">
        <v>2.222222222222222E-2</v>
      </c>
      <c r="AG10" s="8">
        <f>VARP(Sheet1!$L$5:$L$19)</f>
        <v>0.24888888888888888</v>
      </c>
      <c r="AH10" s="8"/>
      <c r="AI10" s="40"/>
      <c r="AK10" s="39" t="s">
        <v>43</v>
      </c>
      <c r="AL10" s="8">
        <v>0.31885553527789956</v>
      </c>
      <c r="AM10" s="40"/>
      <c r="AP10" s="33"/>
      <c r="AQ10" s="15"/>
      <c r="AR10" s="15"/>
      <c r="AS10" s="15"/>
      <c r="AT10" s="15"/>
      <c r="AU10" s="15"/>
      <c r="AV10" s="15"/>
      <c r="AW10" s="34"/>
    </row>
    <row r="11" spans="3:49" x14ac:dyDescent="0.25">
      <c r="C11">
        <v>7</v>
      </c>
      <c r="D11">
        <v>15592531</v>
      </c>
      <c r="E11">
        <v>822</v>
      </c>
      <c r="F11" t="s">
        <v>15</v>
      </c>
      <c r="G11" t="s">
        <v>18</v>
      </c>
      <c r="H11">
        <v>50</v>
      </c>
      <c r="I11">
        <v>7</v>
      </c>
      <c r="J11">
        <v>60000</v>
      </c>
      <c r="K11">
        <v>1</v>
      </c>
      <c r="L11">
        <v>1</v>
      </c>
      <c r="M11">
        <v>10062.799999999999</v>
      </c>
      <c r="N11">
        <v>0</v>
      </c>
      <c r="O11" s="52">
        <v>46183</v>
      </c>
      <c r="P11">
        <v>9.2361111111111116E-2</v>
      </c>
      <c r="Q11">
        <v>9034</v>
      </c>
      <c r="S11" s="45" t="s">
        <v>10</v>
      </c>
      <c r="T11" s="10">
        <v>5.5073717000000001E-2</v>
      </c>
      <c r="U11" s="10">
        <v>-0.178161443</v>
      </c>
      <c r="V11" s="10">
        <v>-0.36977297100000001</v>
      </c>
      <c r="W11" s="10">
        <v>-0.31844848799999997</v>
      </c>
      <c r="X11" s="10">
        <v>-0.37838218000000001</v>
      </c>
      <c r="Y11" s="10">
        <v>1</v>
      </c>
      <c r="Z11" s="46"/>
      <c r="AB11" s="39" t="s">
        <v>10</v>
      </c>
      <c r="AC11" s="8">
        <v>18992.501066666679</v>
      </c>
      <c r="AD11" s="8">
        <v>-21269.197777777783</v>
      </c>
      <c r="AE11" s="8">
        <v>-387028846.13066667</v>
      </c>
      <c r="AF11" s="8">
        <v>-6463.065111111111</v>
      </c>
      <c r="AG11" s="8">
        <v>-8127.1640444444447</v>
      </c>
      <c r="AH11" s="8">
        <f>VARP(Sheet1!$M$5:$M$19)</f>
        <v>1853579393.2035439</v>
      </c>
      <c r="AI11" s="40"/>
      <c r="AK11" s="39" t="s">
        <v>62</v>
      </c>
      <c r="AL11" s="8">
        <v>2.0268670328399851E-2</v>
      </c>
      <c r="AM11" s="40"/>
      <c r="AP11" s="33"/>
      <c r="AQ11" s="15"/>
      <c r="AR11" s="15"/>
      <c r="AS11" s="15"/>
      <c r="AT11" s="15"/>
      <c r="AU11" s="15"/>
      <c r="AV11" s="15"/>
      <c r="AW11" s="34"/>
    </row>
    <row r="12" spans="3:49" ht="15.75" thickBot="1" x14ac:dyDescent="0.3">
      <c r="C12">
        <v>8</v>
      </c>
      <c r="D12">
        <v>15656148</v>
      </c>
      <c r="E12">
        <v>376</v>
      </c>
      <c r="F12" t="s">
        <v>19</v>
      </c>
      <c r="G12" t="s">
        <v>16</v>
      </c>
      <c r="H12">
        <v>29</v>
      </c>
      <c r="I12">
        <v>4</v>
      </c>
      <c r="J12">
        <v>65000</v>
      </c>
      <c r="K12">
        <v>1</v>
      </c>
      <c r="L12">
        <v>0</v>
      </c>
      <c r="M12">
        <v>119346.88</v>
      </c>
      <c r="N12">
        <v>1</v>
      </c>
      <c r="O12" s="52">
        <v>46184</v>
      </c>
      <c r="P12">
        <v>0.11805555555555555</v>
      </c>
      <c r="Q12">
        <v>3426</v>
      </c>
      <c r="S12" s="47" t="s">
        <v>11</v>
      </c>
      <c r="T12" s="48">
        <v>-0.15433177000000001</v>
      </c>
      <c r="U12" s="48">
        <v>0.181226046</v>
      </c>
      <c r="V12" s="48">
        <v>-0.316257811</v>
      </c>
      <c r="W12" s="48">
        <v>0.426401433</v>
      </c>
      <c r="X12" s="48">
        <v>-0.26189246300000002</v>
      </c>
      <c r="Y12" s="48">
        <v>0.42041032099999998</v>
      </c>
      <c r="Z12" s="49">
        <v>1</v>
      </c>
      <c r="AB12" s="42" t="s">
        <v>11</v>
      </c>
      <c r="AC12" s="5">
        <v>-0.54666666666666663</v>
      </c>
      <c r="AD12" s="5">
        <v>0.22222222222222232</v>
      </c>
      <c r="AE12" s="5">
        <v>-3399.9999999999995</v>
      </c>
      <c r="AF12" s="5">
        <v>8.8888888888888948E-2</v>
      </c>
      <c r="AG12" s="5">
        <v>-5.7777777777777789E-2</v>
      </c>
      <c r="AH12" s="5">
        <v>8004.1283555555565</v>
      </c>
      <c r="AI12" s="44">
        <f>VARP(Sheet1!$N$5:$N$19)</f>
        <v>0.19555555555555557</v>
      </c>
      <c r="AK12" s="42" t="s">
        <v>63</v>
      </c>
      <c r="AL12" s="5">
        <v>0.40262094298131063</v>
      </c>
      <c r="AM12" s="44"/>
      <c r="AP12" s="33"/>
      <c r="AQ12" s="15"/>
      <c r="AR12" s="15"/>
      <c r="AS12" s="15"/>
      <c r="AT12" s="15"/>
      <c r="AU12" s="15"/>
      <c r="AV12" s="15"/>
      <c r="AW12" s="34"/>
    </row>
    <row r="13" spans="3:49" x14ac:dyDescent="0.25">
      <c r="C13">
        <v>9</v>
      </c>
      <c r="D13">
        <v>15792365</v>
      </c>
      <c r="E13">
        <v>501</v>
      </c>
      <c r="F13" t="s">
        <v>15</v>
      </c>
      <c r="G13" t="s">
        <v>18</v>
      </c>
      <c r="H13">
        <v>44</v>
      </c>
      <c r="I13">
        <v>4</v>
      </c>
      <c r="J13">
        <v>70000</v>
      </c>
      <c r="K13">
        <v>0</v>
      </c>
      <c r="L13">
        <v>1</v>
      </c>
      <c r="M13">
        <v>74940.5</v>
      </c>
      <c r="N13">
        <v>0</v>
      </c>
      <c r="O13" s="52">
        <v>46185</v>
      </c>
      <c r="P13">
        <v>0.13194444444444445</v>
      </c>
      <c r="Q13">
        <v>28956</v>
      </c>
      <c r="AP13" s="33"/>
      <c r="AQ13" s="15"/>
      <c r="AR13" s="15"/>
      <c r="AS13" s="15"/>
      <c r="AT13" s="15"/>
      <c r="AU13" s="15"/>
      <c r="AV13" s="15"/>
      <c r="AW13" s="34"/>
    </row>
    <row r="14" spans="3:49" x14ac:dyDescent="0.25">
      <c r="C14">
        <v>10</v>
      </c>
      <c r="D14">
        <v>15592389</v>
      </c>
      <c r="E14">
        <v>684</v>
      </c>
      <c r="F14" t="s">
        <v>15</v>
      </c>
      <c r="G14" t="s">
        <v>18</v>
      </c>
      <c r="H14">
        <v>27</v>
      </c>
      <c r="I14">
        <v>2</v>
      </c>
      <c r="J14">
        <v>80000</v>
      </c>
      <c r="K14">
        <v>1</v>
      </c>
      <c r="L14">
        <v>1</v>
      </c>
      <c r="M14">
        <v>71725.73</v>
      </c>
      <c r="N14">
        <v>0</v>
      </c>
      <c r="O14" s="52">
        <v>46186</v>
      </c>
      <c r="P14">
        <v>0.14583333333333334</v>
      </c>
      <c r="Q14">
        <v>34876</v>
      </c>
      <c r="AP14" s="33"/>
      <c r="AQ14" s="15"/>
      <c r="AR14" s="15"/>
      <c r="AS14" s="15"/>
      <c r="AT14" s="15"/>
      <c r="AU14" s="15"/>
      <c r="AV14" s="15"/>
      <c r="AW14" s="34"/>
    </row>
    <row r="15" spans="3:49" x14ac:dyDescent="0.25">
      <c r="C15">
        <v>11</v>
      </c>
      <c r="D15">
        <v>15767821</v>
      </c>
      <c r="E15">
        <v>528</v>
      </c>
      <c r="F15" t="s">
        <v>15</v>
      </c>
      <c r="G15" t="s">
        <v>18</v>
      </c>
      <c r="H15">
        <v>31</v>
      </c>
      <c r="I15">
        <v>6</v>
      </c>
      <c r="J15">
        <v>85000</v>
      </c>
      <c r="K15">
        <v>0</v>
      </c>
      <c r="L15">
        <v>0</v>
      </c>
      <c r="M15">
        <v>80181.119999999995</v>
      </c>
      <c r="N15">
        <v>0</v>
      </c>
      <c r="O15" s="52">
        <v>46187</v>
      </c>
      <c r="P15">
        <v>0.15972222222222221</v>
      </c>
      <c r="Q15">
        <v>59876</v>
      </c>
      <c r="AC15">
        <f>COVAR(Table1[[#All],[tenure]],Table1[[#All],[age]])</f>
        <v>-1.2</v>
      </c>
      <c r="AP15" s="33"/>
      <c r="AQ15" s="15"/>
      <c r="AR15" s="15"/>
      <c r="AS15" s="15"/>
      <c r="AT15" s="15"/>
      <c r="AU15" s="15"/>
      <c r="AV15" s="15"/>
      <c r="AW15" s="34"/>
    </row>
    <row r="16" spans="3:49" x14ac:dyDescent="0.25">
      <c r="C16">
        <v>12</v>
      </c>
      <c r="D16">
        <v>15737173</v>
      </c>
      <c r="E16">
        <v>497</v>
      </c>
      <c r="F16" t="s">
        <v>17</v>
      </c>
      <c r="G16" t="s">
        <v>18</v>
      </c>
      <c r="H16">
        <v>24</v>
      </c>
      <c r="I16">
        <v>3</v>
      </c>
      <c r="J16">
        <v>7400</v>
      </c>
      <c r="K16">
        <v>1</v>
      </c>
      <c r="L16">
        <v>0</v>
      </c>
      <c r="M16">
        <v>76390.009999999995</v>
      </c>
      <c r="N16">
        <v>0</v>
      </c>
      <c r="O16" s="52">
        <v>46188</v>
      </c>
      <c r="P16">
        <v>0.1736111111111111</v>
      </c>
      <c r="Q16">
        <v>9347</v>
      </c>
      <c r="S16">
        <f>CORREL(Table1[tenure],Table1[age])</f>
        <v>-5.402779905158811E-2</v>
      </c>
      <c r="AP16" s="33"/>
      <c r="AQ16" s="15"/>
      <c r="AR16" s="15"/>
      <c r="AS16" s="15"/>
      <c r="AT16" s="15"/>
      <c r="AU16" s="15"/>
      <c r="AV16" s="15"/>
      <c r="AW16" s="34"/>
    </row>
    <row r="17" spans="2:53" x14ac:dyDescent="0.25">
      <c r="C17">
        <v>13</v>
      </c>
      <c r="D17">
        <v>15632264</v>
      </c>
      <c r="E17">
        <v>476</v>
      </c>
      <c r="F17" t="s">
        <v>15</v>
      </c>
      <c r="G17" t="s">
        <v>16</v>
      </c>
      <c r="H17">
        <v>34</v>
      </c>
      <c r="I17">
        <v>10</v>
      </c>
      <c r="J17">
        <v>64964</v>
      </c>
      <c r="K17">
        <v>1</v>
      </c>
      <c r="L17">
        <v>0</v>
      </c>
      <c r="M17">
        <v>26260.98</v>
      </c>
      <c r="N17">
        <v>0</v>
      </c>
      <c r="O17" s="52">
        <v>46189</v>
      </c>
      <c r="P17">
        <v>0.1875</v>
      </c>
      <c r="Q17">
        <v>26715</v>
      </c>
      <c r="AP17" s="33"/>
      <c r="AQ17" s="15"/>
      <c r="AR17" s="15"/>
      <c r="AS17" s="15"/>
      <c r="AT17" s="15"/>
      <c r="AU17" s="15"/>
      <c r="AV17" s="15"/>
      <c r="AW17" s="34"/>
    </row>
    <row r="18" spans="2:53" x14ac:dyDescent="0.25">
      <c r="C18">
        <v>14</v>
      </c>
      <c r="D18">
        <v>15691483</v>
      </c>
      <c r="E18">
        <v>549</v>
      </c>
      <c r="F18" t="s">
        <v>15</v>
      </c>
      <c r="G18" t="s">
        <v>16</v>
      </c>
      <c r="H18">
        <v>45</v>
      </c>
      <c r="I18">
        <v>5</v>
      </c>
      <c r="J18">
        <v>34978</v>
      </c>
      <c r="K18">
        <v>0</v>
      </c>
      <c r="L18">
        <v>0</v>
      </c>
      <c r="M18">
        <v>190857.79</v>
      </c>
      <c r="N18">
        <v>0</v>
      </c>
      <c r="O18" s="52">
        <v>46190</v>
      </c>
      <c r="P18">
        <v>0.2013888888888889</v>
      </c>
      <c r="Q18">
        <v>63456</v>
      </c>
      <c r="AP18" s="33"/>
      <c r="AQ18" s="15"/>
      <c r="AR18" s="15"/>
      <c r="AS18" s="15"/>
      <c r="AT18" s="15"/>
      <c r="AU18" s="15"/>
      <c r="AV18" s="15"/>
      <c r="AW18" s="34"/>
    </row>
    <row r="19" spans="2:53" x14ac:dyDescent="0.25">
      <c r="C19">
        <v>15</v>
      </c>
      <c r="D19">
        <v>15600882</v>
      </c>
      <c r="E19">
        <v>635</v>
      </c>
      <c r="F19" t="s">
        <v>17</v>
      </c>
      <c r="G19" t="s">
        <v>16</v>
      </c>
      <c r="H19">
        <v>35</v>
      </c>
      <c r="I19">
        <v>7</v>
      </c>
      <c r="J19">
        <v>52908</v>
      </c>
      <c r="K19">
        <v>1</v>
      </c>
      <c r="L19">
        <v>1</v>
      </c>
      <c r="M19">
        <v>65951.649999999994</v>
      </c>
      <c r="N19">
        <v>0</v>
      </c>
      <c r="O19" s="52">
        <v>46191</v>
      </c>
      <c r="P19">
        <v>0.22916666666666666</v>
      </c>
      <c r="Q19">
        <v>26578</v>
      </c>
      <c r="AP19" s="33"/>
      <c r="AQ19" s="15"/>
      <c r="AR19" s="15"/>
      <c r="AS19" s="15"/>
      <c r="AT19" s="15"/>
      <c r="AU19" s="15"/>
      <c r="AV19" s="15"/>
      <c r="AW19" s="34"/>
    </row>
    <row r="20" spans="2:53" x14ac:dyDescent="0.25">
      <c r="AP20" s="33"/>
      <c r="AQ20" s="15"/>
      <c r="AR20" s="15"/>
      <c r="AS20" s="15"/>
      <c r="AT20" s="15"/>
      <c r="AU20" s="15"/>
      <c r="AV20" s="15"/>
      <c r="AW20" s="34"/>
    </row>
    <row r="21" spans="2:53" x14ac:dyDescent="0.25">
      <c r="AP21" s="33"/>
      <c r="AQ21" s="15"/>
      <c r="AR21" s="15"/>
      <c r="AS21" s="15"/>
      <c r="AT21" s="15"/>
      <c r="AU21" s="15"/>
      <c r="AV21" s="15"/>
      <c r="AW21" s="34"/>
    </row>
    <row r="22" spans="2:53" x14ac:dyDescent="0.25">
      <c r="I22" s="53"/>
      <c r="J22" s="53"/>
      <c r="K22" s="15"/>
      <c r="L22" s="15"/>
      <c r="AP22" s="33"/>
      <c r="AQ22" s="15"/>
      <c r="AR22" s="15"/>
      <c r="AS22" s="15"/>
      <c r="AT22" s="15"/>
      <c r="AU22" s="15"/>
      <c r="AV22" s="15"/>
      <c r="AW22" s="34"/>
    </row>
    <row r="23" spans="2:53" x14ac:dyDescent="0.25">
      <c r="J23" s="15"/>
      <c r="K23" s="15"/>
      <c r="L23" s="15"/>
      <c r="AP23" s="33"/>
      <c r="AQ23" s="15"/>
      <c r="AR23" s="15"/>
      <c r="AS23" s="15"/>
      <c r="AT23" s="15"/>
      <c r="AU23" s="15"/>
      <c r="AV23" s="15"/>
      <c r="AW23" s="34"/>
    </row>
    <row r="24" spans="2:53" x14ac:dyDescent="0.25">
      <c r="AP24" s="33"/>
      <c r="AQ24" s="15"/>
      <c r="AR24" s="15"/>
      <c r="AS24" s="15"/>
      <c r="AT24" s="15"/>
      <c r="AU24" s="15"/>
      <c r="AV24" s="15"/>
      <c r="AW24" s="34"/>
    </row>
    <row r="25" spans="2:53" ht="15.75" thickBot="1" x14ac:dyDescent="0.3">
      <c r="AP25" s="35"/>
      <c r="AQ25" s="36"/>
      <c r="AR25" s="36"/>
      <c r="AS25" s="36"/>
      <c r="AT25" s="36"/>
      <c r="AU25" s="36"/>
      <c r="AV25" s="36"/>
      <c r="AW25" s="37"/>
    </row>
    <row r="26" spans="2:53" ht="18.75" thickBot="1" x14ac:dyDescent="0.3">
      <c r="B26" s="29"/>
      <c r="C26" s="30" t="s">
        <v>33</v>
      </c>
      <c r="D26" s="31"/>
      <c r="E26" s="31"/>
      <c r="F26" s="31"/>
      <c r="G26" s="31"/>
      <c r="H26" s="31"/>
      <c r="I26" s="31"/>
      <c r="J26" s="32"/>
      <c r="L26" s="29" t="s">
        <v>50</v>
      </c>
      <c r="M26" s="31"/>
      <c r="N26" s="31"/>
      <c r="O26" s="31"/>
      <c r="P26" s="31"/>
      <c r="Q26" s="31"/>
      <c r="R26" s="32"/>
      <c r="U26" s="29" t="s">
        <v>55</v>
      </c>
      <c r="V26" s="31"/>
      <c r="W26" s="31"/>
      <c r="X26" s="31"/>
      <c r="Y26" s="31"/>
      <c r="Z26" s="31"/>
      <c r="AA26" s="32"/>
    </row>
    <row r="27" spans="2:53" ht="15.75" thickBot="1" x14ac:dyDescent="0.3">
      <c r="B27" s="33"/>
      <c r="C27" s="15"/>
      <c r="D27" s="15"/>
      <c r="E27" s="15"/>
      <c r="F27" s="15"/>
      <c r="G27" s="15"/>
      <c r="H27" s="15"/>
      <c r="I27" s="15"/>
      <c r="J27" s="34"/>
      <c r="L27" s="33"/>
      <c r="M27" s="15"/>
      <c r="N27" s="15"/>
      <c r="O27" s="15"/>
      <c r="P27" s="15"/>
      <c r="Q27" s="15"/>
      <c r="R27" s="34"/>
      <c r="U27" s="33"/>
      <c r="V27" s="15"/>
      <c r="W27" s="15"/>
      <c r="X27" s="15"/>
      <c r="Y27" s="15"/>
      <c r="Z27" s="15"/>
      <c r="AA27" s="34"/>
      <c r="AC27" s="29"/>
      <c r="AD27" s="31"/>
      <c r="AE27" s="31"/>
      <c r="AF27" s="31"/>
      <c r="AG27" s="31" t="s">
        <v>59</v>
      </c>
      <c r="AH27" s="31"/>
      <c r="AI27" s="31"/>
      <c r="AJ27" s="31"/>
      <c r="AK27" s="31"/>
      <c r="AL27" s="31"/>
      <c r="AM27" s="31"/>
      <c r="AN27" s="31"/>
      <c r="AO27" s="31"/>
      <c r="AP27" s="32"/>
      <c r="AR27" s="29"/>
      <c r="AS27" s="31" t="s">
        <v>68</v>
      </c>
      <c r="AT27" s="31"/>
      <c r="AU27" s="31"/>
      <c r="AV27" s="31"/>
      <c r="AW27" s="31"/>
      <c r="AX27" s="31"/>
      <c r="AY27" s="31"/>
      <c r="AZ27" s="31"/>
      <c r="BA27" s="32"/>
    </row>
    <row r="28" spans="2:53" ht="15.75" thickBot="1" x14ac:dyDescent="0.3">
      <c r="B28" s="33"/>
      <c r="C28" s="15" t="s">
        <v>34</v>
      </c>
      <c r="D28" s="15"/>
      <c r="E28" s="15"/>
      <c r="F28" s="15"/>
      <c r="G28" s="15"/>
      <c r="H28" s="15"/>
      <c r="I28" s="15"/>
      <c r="J28" s="34"/>
      <c r="L28" s="33" t="s">
        <v>34</v>
      </c>
      <c r="M28" s="15" t="s">
        <v>5</v>
      </c>
      <c r="N28" s="15" t="s">
        <v>6</v>
      </c>
      <c r="O28" s="15" t="s">
        <v>7</v>
      </c>
      <c r="P28" s="15" t="s">
        <v>48</v>
      </c>
      <c r="Q28" s="15"/>
      <c r="R28" s="34"/>
      <c r="U28" s="41" t="s">
        <v>34</v>
      </c>
      <c r="V28" s="7" t="s">
        <v>32</v>
      </c>
      <c r="W28" s="7" t="s">
        <v>31</v>
      </c>
      <c r="X28" s="7" t="s">
        <v>36</v>
      </c>
      <c r="Y28" s="7" t="s">
        <v>37</v>
      </c>
      <c r="Z28" s="15"/>
      <c r="AA28" s="34"/>
      <c r="AC28" s="33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34"/>
      <c r="AR28" s="33"/>
      <c r="AS28" s="15"/>
      <c r="AT28" s="15"/>
      <c r="AU28" s="15"/>
      <c r="AV28" s="15"/>
      <c r="AW28" s="15"/>
      <c r="AX28" s="15"/>
      <c r="AY28" s="15"/>
      <c r="AZ28" s="15"/>
      <c r="BA28" s="34"/>
    </row>
    <row r="29" spans="2:53" ht="15.75" thickBot="1" x14ac:dyDescent="0.3">
      <c r="B29" s="33"/>
      <c r="C29" s="7" t="s">
        <v>35</v>
      </c>
      <c r="D29" s="7" t="s">
        <v>32</v>
      </c>
      <c r="E29" s="7" t="s">
        <v>31</v>
      </c>
      <c r="F29" s="7" t="s">
        <v>36</v>
      </c>
      <c r="G29" s="7" t="s">
        <v>37</v>
      </c>
      <c r="H29" s="15"/>
      <c r="I29" s="15"/>
      <c r="J29" s="34"/>
      <c r="L29" s="38" t="s">
        <v>16</v>
      </c>
      <c r="M29" s="17"/>
      <c r="N29" s="17"/>
      <c r="O29" s="17"/>
      <c r="P29" s="17"/>
      <c r="Q29" s="15"/>
      <c r="R29" s="34"/>
      <c r="U29" s="39">
        <v>42</v>
      </c>
      <c r="V29" s="8">
        <v>6</v>
      </c>
      <c r="W29" s="8">
        <v>102353.88</v>
      </c>
      <c r="X29" s="8">
        <v>17058.98</v>
      </c>
      <c r="Y29" s="8">
        <v>1705308538.4823999</v>
      </c>
      <c r="Z29" s="15"/>
      <c r="AA29" s="34"/>
      <c r="AC29" s="33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34"/>
      <c r="AR29" s="33"/>
      <c r="AS29" s="9" t="s">
        <v>69</v>
      </c>
      <c r="AT29" s="9"/>
      <c r="AU29" s="15"/>
      <c r="AV29" s="15"/>
      <c r="AW29" s="15"/>
      <c r="AX29" s="15"/>
      <c r="AY29" s="15"/>
      <c r="AZ29" s="15"/>
      <c r="BA29" s="34"/>
    </row>
    <row r="30" spans="2:53" x14ac:dyDescent="0.25">
      <c r="B30" s="33"/>
      <c r="C30" s="8" t="s">
        <v>5</v>
      </c>
      <c r="D30" s="8">
        <v>15</v>
      </c>
      <c r="E30" s="8">
        <v>552</v>
      </c>
      <c r="F30" s="8">
        <v>36.799999999999997</v>
      </c>
      <c r="G30" s="8">
        <v>68.742857142857247</v>
      </c>
      <c r="H30" s="15"/>
      <c r="I30" s="15"/>
      <c r="J30" s="34"/>
      <c r="L30" s="39" t="s">
        <v>32</v>
      </c>
      <c r="M30" s="8">
        <v>15</v>
      </c>
      <c r="N30" s="8">
        <v>15</v>
      </c>
      <c r="O30" s="8">
        <v>15</v>
      </c>
      <c r="P30" s="8">
        <v>45</v>
      </c>
      <c r="Q30" s="15"/>
      <c r="R30" s="34"/>
      <c r="U30" s="39">
        <v>41</v>
      </c>
      <c r="V30" s="8">
        <v>6</v>
      </c>
      <c r="W30" s="8">
        <v>132544.58000000002</v>
      </c>
      <c r="X30" s="8">
        <v>22090.763333333336</v>
      </c>
      <c r="Y30" s="8">
        <v>2027564273.4320667</v>
      </c>
      <c r="Z30" s="15"/>
      <c r="AA30" s="34"/>
      <c r="AC30" s="41" t="s">
        <v>5</v>
      </c>
      <c r="AD30" s="7"/>
      <c r="AE30" s="7" t="s">
        <v>6</v>
      </c>
      <c r="AF30" s="7"/>
      <c r="AG30" s="7" t="s">
        <v>7</v>
      </c>
      <c r="AH30" s="7"/>
      <c r="AI30" s="7" t="s">
        <v>8</v>
      </c>
      <c r="AJ30" s="7"/>
      <c r="AK30" s="7" t="s">
        <v>9</v>
      </c>
      <c r="AL30" s="7"/>
      <c r="AM30" s="7" t="s">
        <v>10</v>
      </c>
      <c r="AN30" s="7"/>
      <c r="AO30" s="7" t="s">
        <v>11</v>
      </c>
      <c r="AP30" s="43"/>
      <c r="AR30" s="33"/>
      <c r="AS30" s="8" t="s">
        <v>70</v>
      </c>
      <c r="AT30" s="8">
        <v>5.4027799051585071E-2</v>
      </c>
      <c r="AU30" s="15"/>
      <c r="AV30" s="15"/>
      <c r="AW30" s="15"/>
      <c r="AX30" s="15"/>
      <c r="AY30" s="15"/>
      <c r="AZ30" s="15"/>
      <c r="BA30" s="34"/>
    </row>
    <row r="31" spans="2:53" x14ac:dyDescent="0.25">
      <c r="B31" s="33"/>
      <c r="C31" s="8" t="s">
        <v>6</v>
      </c>
      <c r="D31" s="8">
        <v>15</v>
      </c>
      <c r="E31" s="8">
        <v>70</v>
      </c>
      <c r="F31" s="8">
        <v>4.666666666666667</v>
      </c>
      <c r="G31" s="8">
        <v>8.2380952380952372</v>
      </c>
      <c r="H31" s="15"/>
      <c r="I31" s="15"/>
      <c r="J31" s="34"/>
      <c r="L31" s="39" t="s">
        <v>31</v>
      </c>
      <c r="M31" s="8">
        <v>552</v>
      </c>
      <c r="N31" s="8">
        <v>70</v>
      </c>
      <c r="O31" s="8">
        <v>701250</v>
      </c>
      <c r="P31" s="8">
        <v>701872</v>
      </c>
      <c r="Q31" s="15"/>
      <c r="R31" s="34"/>
      <c r="U31" s="39">
        <v>24</v>
      </c>
      <c r="V31" s="8">
        <v>6</v>
      </c>
      <c r="W31" s="8">
        <v>143941.57</v>
      </c>
      <c r="X31" s="8">
        <v>23990.261666666669</v>
      </c>
      <c r="Y31" s="8">
        <v>2085441355.9308171</v>
      </c>
      <c r="Z31" s="15"/>
      <c r="AA31" s="34"/>
      <c r="AC31" s="39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40"/>
      <c r="AR31" s="33"/>
      <c r="AS31" s="8" t="s">
        <v>71</v>
      </c>
      <c r="AT31" s="8">
        <v>2.9190030703584563E-3</v>
      </c>
      <c r="AU31" s="15"/>
      <c r="AV31" s="15"/>
      <c r="AW31" s="15"/>
      <c r="AX31" s="15"/>
      <c r="AY31" s="15"/>
      <c r="AZ31" s="15"/>
      <c r="BA31" s="34"/>
    </row>
    <row r="32" spans="2:53" x14ac:dyDescent="0.25">
      <c r="B32" s="33"/>
      <c r="C32" s="8" t="s">
        <v>7</v>
      </c>
      <c r="D32" s="8">
        <v>15</v>
      </c>
      <c r="E32" s="8">
        <v>701250</v>
      </c>
      <c r="F32" s="8">
        <v>46750</v>
      </c>
      <c r="G32" s="8">
        <v>633240053.14285719</v>
      </c>
      <c r="H32" s="15"/>
      <c r="I32" s="15"/>
      <c r="J32" s="34"/>
      <c r="L32" s="39" t="s">
        <v>36</v>
      </c>
      <c r="M32" s="8">
        <v>36.799999999999997</v>
      </c>
      <c r="N32" s="8">
        <v>4.666666666666667</v>
      </c>
      <c r="O32" s="8">
        <v>46750</v>
      </c>
      <c r="P32" s="8">
        <v>15597.155555555555</v>
      </c>
      <c r="Q32" s="15"/>
      <c r="R32" s="34"/>
      <c r="U32" s="39">
        <v>39</v>
      </c>
      <c r="V32" s="8">
        <v>6</v>
      </c>
      <c r="W32" s="8">
        <v>133827.63</v>
      </c>
      <c r="X32" s="8">
        <v>22304.605</v>
      </c>
      <c r="Y32" s="8">
        <v>1483692814.5841498</v>
      </c>
      <c r="Z32" s="15"/>
      <c r="AA32" s="34"/>
      <c r="AC32" s="39" t="s">
        <v>20</v>
      </c>
      <c r="AD32" s="8">
        <v>36.799999999999997</v>
      </c>
      <c r="AE32" s="8" t="s">
        <v>20</v>
      </c>
      <c r="AF32" s="8">
        <v>4.666666666666667</v>
      </c>
      <c r="AG32" s="8" t="s">
        <v>20</v>
      </c>
      <c r="AH32" s="8">
        <v>46750</v>
      </c>
      <c r="AI32" s="8" t="s">
        <v>20</v>
      </c>
      <c r="AJ32" s="8">
        <v>0.66666666666666663</v>
      </c>
      <c r="AK32" s="8" t="s">
        <v>20</v>
      </c>
      <c r="AL32" s="8">
        <v>0.46666666666666667</v>
      </c>
      <c r="AM32" s="8" t="s">
        <v>20</v>
      </c>
      <c r="AN32" s="8">
        <v>91080.528666666665</v>
      </c>
      <c r="AO32" s="8" t="s">
        <v>20</v>
      </c>
      <c r="AP32" s="40">
        <v>0.26666666666666666</v>
      </c>
      <c r="AR32" s="33"/>
      <c r="AS32" s="8" t="s">
        <v>72</v>
      </c>
      <c r="AT32" s="8">
        <v>-7.3779535154998591E-2</v>
      </c>
      <c r="AU32" s="15"/>
      <c r="AV32" s="15"/>
      <c r="AW32" s="15"/>
      <c r="AX32" s="15"/>
      <c r="AY32" s="15"/>
      <c r="AZ32" s="15"/>
      <c r="BA32" s="34"/>
    </row>
    <row r="33" spans="2:53" x14ac:dyDescent="0.25">
      <c r="B33" s="33"/>
      <c r="C33" s="8" t="s">
        <v>8</v>
      </c>
      <c r="D33" s="8">
        <v>15</v>
      </c>
      <c r="E33" s="8">
        <v>10</v>
      </c>
      <c r="F33" s="8">
        <v>0.66666666666666663</v>
      </c>
      <c r="G33" s="8">
        <v>0.23809523809523808</v>
      </c>
      <c r="H33" s="15"/>
      <c r="I33" s="15"/>
      <c r="J33" s="34"/>
      <c r="L33" s="39" t="s">
        <v>37</v>
      </c>
      <c r="M33" s="8">
        <v>68.742857142857247</v>
      </c>
      <c r="N33" s="8">
        <v>8.2380952380952372</v>
      </c>
      <c r="O33" s="8">
        <v>633240053.14285719</v>
      </c>
      <c r="P33" s="8">
        <v>697763936.31616163</v>
      </c>
      <c r="Q33" s="15"/>
      <c r="R33" s="34"/>
      <c r="U33" s="39">
        <v>43</v>
      </c>
      <c r="V33" s="8">
        <v>6</v>
      </c>
      <c r="W33" s="8">
        <v>129088.1</v>
      </c>
      <c r="X33" s="8">
        <v>21514.683333333334</v>
      </c>
      <c r="Y33" s="8">
        <v>1195401057.0416667</v>
      </c>
      <c r="Z33" s="15"/>
      <c r="AA33" s="34"/>
      <c r="AC33" s="39" t="s">
        <v>21</v>
      </c>
      <c r="AD33" s="8">
        <v>2.1407608794204807</v>
      </c>
      <c r="AE33" s="8" t="s">
        <v>21</v>
      </c>
      <c r="AF33" s="8">
        <v>0.74108457628421132</v>
      </c>
      <c r="AG33" s="8" t="s">
        <v>21</v>
      </c>
      <c r="AH33" s="8">
        <v>6497.3843616379309</v>
      </c>
      <c r="AI33" s="8" t="s">
        <v>21</v>
      </c>
      <c r="AJ33" s="8">
        <v>0.12598815766974242</v>
      </c>
      <c r="AK33" s="8" t="s">
        <v>21</v>
      </c>
      <c r="AL33" s="8">
        <v>0.1333333333333333</v>
      </c>
      <c r="AM33" s="8" t="s">
        <v>21</v>
      </c>
      <c r="AN33" s="8">
        <v>11506.4559307359</v>
      </c>
      <c r="AO33" s="8" t="s">
        <v>21</v>
      </c>
      <c r="AP33" s="40">
        <v>0.11818736805705576</v>
      </c>
      <c r="AR33" s="33"/>
      <c r="AS33" s="8" t="s">
        <v>21</v>
      </c>
      <c r="AT33" s="8">
        <v>2.9742054527763395</v>
      </c>
      <c r="AU33" s="15"/>
      <c r="AV33" s="15"/>
      <c r="AW33" s="15"/>
      <c r="AX33" s="15"/>
      <c r="AY33" s="15"/>
      <c r="AZ33" s="15"/>
      <c r="BA33" s="34"/>
    </row>
    <row r="34" spans="2:53" ht="15.75" thickBot="1" x14ac:dyDescent="0.3">
      <c r="B34" s="33"/>
      <c r="C34" s="8" t="s">
        <v>9</v>
      </c>
      <c r="D34" s="8">
        <v>15</v>
      </c>
      <c r="E34" s="8">
        <v>7</v>
      </c>
      <c r="F34" s="8">
        <v>0.46666666666666667</v>
      </c>
      <c r="G34" s="8">
        <v>0.26666666666666666</v>
      </c>
      <c r="H34" s="15"/>
      <c r="I34" s="15"/>
      <c r="J34" s="34"/>
      <c r="L34" s="39"/>
      <c r="M34" s="8"/>
      <c r="N34" s="8"/>
      <c r="O34" s="8"/>
      <c r="P34" s="8"/>
      <c r="Q34" s="15"/>
      <c r="R34" s="34"/>
      <c r="U34" s="39">
        <v>44</v>
      </c>
      <c r="V34" s="8">
        <v>6</v>
      </c>
      <c r="W34" s="8">
        <v>189766.71</v>
      </c>
      <c r="X34" s="8">
        <v>31627.785</v>
      </c>
      <c r="Y34" s="8">
        <v>3605034310.3973494</v>
      </c>
      <c r="Z34" s="15"/>
      <c r="AA34" s="34"/>
      <c r="AC34" s="39" t="s">
        <v>22</v>
      </c>
      <c r="AD34" s="8">
        <v>39</v>
      </c>
      <c r="AE34" s="8" t="s">
        <v>22</v>
      </c>
      <c r="AF34" s="8">
        <v>4</v>
      </c>
      <c r="AG34" s="8" t="s">
        <v>22</v>
      </c>
      <c r="AH34" s="8">
        <v>50000</v>
      </c>
      <c r="AI34" s="8" t="s">
        <v>22</v>
      </c>
      <c r="AJ34" s="8">
        <v>1</v>
      </c>
      <c r="AK34" s="8" t="s">
        <v>22</v>
      </c>
      <c r="AL34" s="8">
        <v>0</v>
      </c>
      <c r="AM34" s="8" t="s">
        <v>22</v>
      </c>
      <c r="AN34" s="8">
        <v>80181.119999999995</v>
      </c>
      <c r="AO34" s="8" t="s">
        <v>22</v>
      </c>
      <c r="AP34" s="40">
        <v>0</v>
      </c>
      <c r="AR34" s="33"/>
      <c r="AS34" s="5" t="s">
        <v>61</v>
      </c>
      <c r="AT34" s="5">
        <v>15</v>
      </c>
      <c r="AU34" s="15"/>
      <c r="AV34" s="15"/>
      <c r="AW34" s="15"/>
      <c r="AX34" s="15"/>
      <c r="AY34" s="15"/>
      <c r="AZ34" s="15"/>
      <c r="BA34" s="34"/>
    </row>
    <row r="35" spans="2:53" ht="15.75" thickBot="1" x14ac:dyDescent="0.3">
      <c r="B35" s="33"/>
      <c r="C35" s="8" t="s">
        <v>10</v>
      </c>
      <c r="D35" s="8">
        <v>15</v>
      </c>
      <c r="E35" s="8">
        <v>1366207.93</v>
      </c>
      <c r="F35" s="8">
        <v>91080.528666666665</v>
      </c>
      <c r="G35" s="8">
        <v>1985977921.2895105</v>
      </c>
      <c r="H35" s="15"/>
      <c r="I35" s="15"/>
      <c r="J35" s="34"/>
      <c r="L35" s="38" t="s">
        <v>48</v>
      </c>
      <c r="M35" s="17"/>
      <c r="N35" s="17"/>
      <c r="O35" s="15"/>
      <c r="P35" s="15"/>
      <c r="Q35" s="15"/>
      <c r="R35" s="34"/>
      <c r="U35" s="39">
        <v>50</v>
      </c>
      <c r="V35" s="8">
        <v>6</v>
      </c>
      <c r="W35" s="8">
        <v>70071.8</v>
      </c>
      <c r="X35" s="8">
        <v>11678.633333333333</v>
      </c>
      <c r="Y35" s="8">
        <v>576583427.12666667</v>
      </c>
      <c r="Z35" s="15"/>
      <c r="AA35" s="34"/>
      <c r="AC35" s="39" t="s">
        <v>23</v>
      </c>
      <c r="AD35" s="8">
        <v>24</v>
      </c>
      <c r="AE35" s="8" t="s">
        <v>23</v>
      </c>
      <c r="AF35" s="8">
        <v>2</v>
      </c>
      <c r="AG35" s="8" t="s">
        <v>23</v>
      </c>
      <c r="AH35" s="8">
        <v>40000</v>
      </c>
      <c r="AI35" s="8" t="s">
        <v>23</v>
      </c>
      <c r="AJ35" s="8">
        <v>1</v>
      </c>
      <c r="AK35" s="8" t="s">
        <v>23</v>
      </c>
      <c r="AL35" s="8">
        <v>0</v>
      </c>
      <c r="AM35" s="8" t="s">
        <v>23</v>
      </c>
      <c r="AN35" s="8" t="e">
        <v>#N/A</v>
      </c>
      <c r="AO35" s="8" t="s">
        <v>23</v>
      </c>
      <c r="AP35" s="40">
        <v>0</v>
      </c>
      <c r="AR35" s="33"/>
      <c r="AS35" s="15"/>
      <c r="AT35" s="15"/>
      <c r="AU35" s="15"/>
      <c r="AV35" s="15"/>
      <c r="AW35" s="15"/>
      <c r="AX35" s="15"/>
      <c r="AY35" s="15"/>
      <c r="AZ35" s="15"/>
      <c r="BA35" s="34"/>
    </row>
    <row r="36" spans="2:53" ht="15.75" thickBot="1" x14ac:dyDescent="0.3">
      <c r="B36" s="33"/>
      <c r="C36" s="5" t="s">
        <v>11</v>
      </c>
      <c r="D36" s="5">
        <v>15</v>
      </c>
      <c r="E36" s="5">
        <v>4</v>
      </c>
      <c r="F36" s="5">
        <v>0.26666666666666666</v>
      </c>
      <c r="G36" s="5">
        <v>0.20952380952380953</v>
      </c>
      <c r="H36" s="15"/>
      <c r="I36" s="15"/>
      <c r="J36" s="34"/>
      <c r="L36" s="39" t="s">
        <v>32</v>
      </c>
      <c r="M36" s="8">
        <v>15</v>
      </c>
      <c r="N36" s="8">
        <v>15</v>
      </c>
      <c r="O36" s="15">
        <v>15</v>
      </c>
      <c r="P36" s="15"/>
      <c r="Q36" s="15"/>
      <c r="R36" s="34"/>
      <c r="U36" s="39">
        <v>29</v>
      </c>
      <c r="V36" s="8">
        <v>6</v>
      </c>
      <c r="W36" s="8">
        <v>184352.88</v>
      </c>
      <c r="X36" s="8">
        <v>30725.48</v>
      </c>
      <c r="Y36" s="8">
        <v>2560869411.2704</v>
      </c>
      <c r="Z36" s="15"/>
      <c r="AA36" s="34"/>
      <c r="AC36" s="39" t="s">
        <v>24</v>
      </c>
      <c r="AD36" s="8">
        <v>8.2911312342078656</v>
      </c>
      <c r="AE36" s="8" t="s">
        <v>24</v>
      </c>
      <c r="AF36" s="8">
        <v>2.8702082220799308</v>
      </c>
      <c r="AG36" s="8" t="s">
        <v>24</v>
      </c>
      <c r="AH36" s="8">
        <v>25164.261426532215</v>
      </c>
      <c r="AI36" s="8" t="s">
        <v>24</v>
      </c>
      <c r="AJ36" s="8">
        <v>0.4879500364742666</v>
      </c>
      <c r="AK36" s="8" t="s">
        <v>24</v>
      </c>
      <c r="AL36" s="8">
        <v>0.5163977794943222</v>
      </c>
      <c r="AM36" s="8" t="s">
        <v>24</v>
      </c>
      <c r="AN36" s="8">
        <v>44564.312193609701</v>
      </c>
      <c r="AO36" s="8" t="s">
        <v>24</v>
      </c>
      <c r="AP36" s="40">
        <v>0.45773770821706344</v>
      </c>
      <c r="AR36" s="33"/>
      <c r="AS36" s="15" t="s">
        <v>38</v>
      </c>
      <c r="AT36" s="15"/>
      <c r="AU36" s="15"/>
      <c r="AV36" s="15"/>
      <c r="AW36" s="15"/>
      <c r="AX36" s="15"/>
      <c r="AY36" s="15"/>
      <c r="AZ36" s="15"/>
      <c r="BA36" s="34"/>
    </row>
    <row r="37" spans="2:53" x14ac:dyDescent="0.25">
      <c r="B37" s="33"/>
      <c r="C37" s="15"/>
      <c r="D37" s="15"/>
      <c r="E37" s="15"/>
      <c r="F37" s="15"/>
      <c r="G37" s="15"/>
      <c r="H37" s="15"/>
      <c r="I37" s="15"/>
      <c r="J37" s="34"/>
      <c r="L37" s="39" t="s">
        <v>31</v>
      </c>
      <c r="M37" s="8">
        <v>552</v>
      </c>
      <c r="N37" s="8">
        <v>70</v>
      </c>
      <c r="O37" s="15">
        <v>701250</v>
      </c>
      <c r="P37" s="15"/>
      <c r="Q37" s="15"/>
      <c r="R37" s="34"/>
      <c r="U37" s="39">
        <v>44</v>
      </c>
      <c r="V37" s="8">
        <v>6</v>
      </c>
      <c r="W37" s="8">
        <v>144945.5</v>
      </c>
      <c r="X37" s="8">
        <v>24157.583333333332</v>
      </c>
      <c r="Y37" s="8">
        <v>1402909112.4416668</v>
      </c>
      <c r="Z37" s="15"/>
      <c r="AA37" s="34"/>
      <c r="AC37" s="39" t="s">
        <v>25</v>
      </c>
      <c r="AD37" s="8">
        <v>68.742857142857247</v>
      </c>
      <c r="AE37" s="8" t="s">
        <v>25</v>
      </c>
      <c r="AF37" s="8">
        <v>8.2380952380952372</v>
      </c>
      <c r="AG37" s="8" t="s">
        <v>25</v>
      </c>
      <c r="AH37" s="8">
        <v>633240053.14285719</v>
      </c>
      <c r="AI37" s="8" t="s">
        <v>25</v>
      </c>
      <c r="AJ37" s="8">
        <v>0.23809523809523808</v>
      </c>
      <c r="AK37" s="8" t="s">
        <v>25</v>
      </c>
      <c r="AL37" s="8">
        <v>0.26666666666666666</v>
      </c>
      <c r="AM37" s="8" t="s">
        <v>25</v>
      </c>
      <c r="AN37" s="8">
        <v>1985977921.2895105</v>
      </c>
      <c r="AO37" s="8" t="s">
        <v>25</v>
      </c>
      <c r="AP37" s="40">
        <v>0.20952380952380953</v>
      </c>
      <c r="AR37" s="33"/>
      <c r="AS37" s="7"/>
      <c r="AT37" s="7" t="s">
        <v>41</v>
      </c>
      <c r="AU37" s="7" t="s">
        <v>40</v>
      </c>
      <c r="AV37" s="7" t="s">
        <v>42</v>
      </c>
      <c r="AW37" s="7" t="s">
        <v>43</v>
      </c>
      <c r="AX37" s="7" t="s">
        <v>76</v>
      </c>
      <c r="AY37" s="15"/>
      <c r="AZ37" s="15"/>
      <c r="BA37" s="34"/>
    </row>
    <row r="38" spans="2:53" x14ac:dyDescent="0.25">
      <c r="B38" s="33"/>
      <c r="C38" s="15"/>
      <c r="D38" s="15"/>
      <c r="E38" s="15"/>
      <c r="F38" s="15"/>
      <c r="G38" s="15"/>
      <c r="H38" s="15"/>
      <c r="I38" s="15"/>
      <c r="J38" s="34"/>
      <c r="L38" s="39" t="s">
        <v>36</v>
      </c>
      <c r="M38" s="8">
        <v>36.799999999999997</v>
      </c>
      <c r="N38" s="8">
        <v>4.666666666666667</v>
      </c>
      <c r="O38" s="15">
        <v>46750</v>
      </c>
      <c r="P38" s="15"/>
      <c r="Q38" s="15"/>
      <c r="R38" s="34"/>
      <c r="U38" s="39">
        <v>27</v>
      </c>
      <c r="V38" s="8">
        <v>6</v>
      </c>
      <c r="W38" s="8">
        <v>151729.72999999998</v>
      </c>
      <c r="X38" s="8">
        <v>25288.28833333333</v>
      </c>
      <c r="Y38" s="8">
        <v>1541519037.810817</v>
      </c>
      <c r="Z38" s="15"/>
      <c r="AA38" s="34"/>
      <c r="AC38" s="39" t="s">
        <v>26</v>
      </c>
      <c r="AD38" s="8">
        <v>-1.196958846569236</v>
      </c>
      <c r="AE38" s="8" t="s">
        <v>26</v>
      </c>
      <c r="AF38" s="8">
        <v>-1.1140751059558895</v>
      </c>
      <c r="AG38" s="8" t="s">
        <v>26</v>
      </c>
      <c r="AH38" s="8">
        <v>-0.67224496802558864</v>
      </c>
      <c r="AI38" s="8" t="s">
        <v>26</v>
      </c>
      <c r="AJ38" s="8">
        <v>-1.6153846153846154</v>
      </c>
      <c r="AK38" s="8" t="s">
        <v>26</v>
      </c>
      <c r="AL38" s="8">
        <v>-2.3076923076923075</v>
      </c>
      <c r="AM38" s="8" t="s">
        <v>26</v>
      </c>
      <c r="AN38" s="8">
        <v>1.065519912393337</v>
      </c>
      <c r="AO38" s="8" t="s">
        <v>26</v>
      </c>
      <c r="AP38" s="40">
        <v>-0.73426573426573549</v>
      </c>
      <c r="AR38" s="33"/>
      <c r="AS38" s="8" t="s">
        <v>73</v>
      </c>
      <c r="AT38" s="8">
        <v>1</v>
      </c>
      <c r="AU38" s="8">
        <v>0.33665835411467526</v>
      </c>
      <c r="AV38" s="8">
        <v>0.33665835411467526</v>
      </c>
      <c r="AW38" s="8">
        <v>3.8058131717996872E-2</v>
      </c>
      <c r="AX38" s="8">
        <v>0.84834239593432881</v>
      </c>
      <c r="AY38" s="15"/>
      <c r="AZ38" s="15"/>
      <c r="BA38" s="34"/>
    </row>
    <row r="39" spans="2:53" ht="15.75" thickBot="1" x14ac:dyDescent="0.3">
      <c r="B39" s="33"/>
      <c r="C39" s="15" t="s">
        <v>38</v>
      </c>
      <c r="D39" s="15"/>
      <c r="E39" s="15"/>
      <c r="F39" s="15"/>
      <c r="G39" s="15"/>
      <c r="H39" s="15"/>
      <c r="I39" s="15"/>
      <c r="J39" s="34"/>
      <c r="L39" s="39" t="s">
        <v>37</v>
      </c>
      <c r="M39" s="8">
        <v>68.742857142857247</v>
      </c>
      <c r="N39" s="8">
        <v>8.2380952380952372</v>
      </c>
      <c r="O39" s="15">
        <v>633240053.14285719</v>
      </c>
      <c r="P39" s="15"/>
      <c r="Q39" s="15"/>
      <c r="R39" s="34"/>
      <c r="U39" s="39">
        <v>31</v>
      </c>
      <c r="V39" s="8">
        <v>6</v>
      </c>
      <c r="W39" s="8">
        <v>165187.12</v>
      </c>
      <c r="X39" s="8">
        <v>27531.186666666665</v>
      </c>
      <c r="Y39" s="8">
        <v>1821242920.9610665</v>
      </c>
      <c r="Z39" s="15"/>
      <c r="AA39" s="34"/>
      <c r="AC39" s="39" t="s">
        <v>27</v>
      </c>
      <c r="AD39" s="8">
        <v>-0.25615624608499327</v>
      </c>
      <c r="AE39" s="8" t="s">
        <v>27</v>
      </c>
      <c r="AF39" s="8">
        <v>0.32377508530981786</v>
      </c>
      <c r="AG39" s="8" t="s">
        <v>27</v>
      </c>
      <c r="AH39" s="8">
        <v>-0.32465357442473886</v>
      </c>
      <c r="AI39" s="8" t="s">
        <v>27</v>
      </c>
      <c r="AJ39" s="8">
        <v>-0.78822698199689201</v>
      </c>
      <c r="AK39" s="8" t="s">
        <v>27</v>
      </c>
      <c r="AL39" s="8">
        <v>0.14896089793105446</v>
      </c>
      <c r="AM39" s="8" t="s">
        <v>27</v>
      </c>
      <c r="AN39" s="8">
        <v>0.37547840066329463</v>
      </c>
      <c r="AO39" s="8" t="s">
        <v>27</v>
      </c>
      <c r="AP39" s="40">
        <v>1.1763539004879073</v>
      </c>
      <c r="AR39" s="33"/>
      <c r="AS39" s="8" t="s">
        <v>74</v>
      </c>
      <c r="AT39" s="8">
        <v>13</v>
      </c>
      <c r="AU39" s="8">
        <v>114.99667497921864</v>
      </c>
      <c r="AV39" s="8">
        <v>8.8458980753245111</v>
      </c>
      <c r="AW39" s="8"/>
      <c r="AX39" s="8"/>
      <c r="AY39" s="15"/>
      <c r="AZ39" s="15"/>
      <c r="BA39" s="34"/>
    </row>
    <row r="40" spans="2:53" ht="15.75" thickBot="1" x14ac:dyDescent="0.3">
      <c r="B40" s="33"/>
      <c r="C40" s="7" t="s">
        <v>39</v>
      </c>
      <c r="D40" s="7" t="s">
        <v>40</v>
      </c>
      <c r="E40" s="7" t="s">
        <v>41</v>
      </c>
      <c r="F40" s="7" t="s">
        <v>42</v>
      </c>
      <c r="G40" s="7" t="s">
        <v>43</v>
      </c>
      <c r="H40" s="7" t="s">
        <v>44</v>
      </c>
      <c r="I40" s="7" t="s">
        <v>45</v>
      </c>
      <c r="J40" s="34"/>
      <c r="L40" s="39"/>
      <c r="M40" s="8"/>
      <c r="N40" s="8"/>
      <c r="O40" s="15"/>
      <c r="P40" s="15"/>
      <c r="Q40" s="15"/>
      <c r="R40" s="34"/>
      <c r="U40" s="39">
        <v>24</v>
      </c>
      <c r="V40" s="8">
        <v>6</v>
      </c>
      <c r="W40" s="8">
        <v>83794.009999999995</v>
      </c>
      <c r="X40" s="8">
        <v>13965.668333333333</v>
      </c>
      <c r="Y40" s="8">
        <v>943990857.16401649</v>
      </c>
      <c r="Z40" s="15"/>
      <c r="AA40" s="34"/>
      <c r="AC40" s="39" t="s">
        <v>28</v>
      </c>
      <c r="AD40" s="8">
        <v>26</v>
      </c>
      <c r="AE40" s="8" t="s">
        <v>28</v>
      </c>
      <c r="AF40" s="8">
        <v>9</v>
      </c>
      <c r="AG40" s="8" t="s">
        <v>28</v>
      </c>
      <c r="AH40" s="8">
        <v>84000</v>
      </c>
      <c r="AI40" s="8" t="s">
        <v>28</v>
      </c>
      <c r="AJ40" s="8">
        <v>1</v>
      </c>
      <c r="AK40" s="8" t="s">
        <v>28</v>
      </c>
      <c r="AL40" s="8">
        <v>1</v>
      </c>
      <c r="AM40" s="8" t="s">
        <v>28</v>
      </c>
      <c r="AN40" s="8">
        <v>180794.99000000002</v>
      </c>
      <c r="AO40" s="8" t="s">
        <v>28</v>
      </c>
      <c r="AP40" s="40">
        <v>1</v>
      </c>
      <c r="AR40" s="33"/>
      <c r="AS40" s="5" t="s">
        <v>48</v>
      </c>
      <c r="AT40" s="5">
        <v>14</v>
      </c>
      <c r="AU40" s="5">
        <v>115.33333333333331</v>
      </c>
      <c r="AV40" s="5"/>
      <c r="AW40" s="5"/>
      <c r="AX40" s="5"/>
      <c r="AY40" s="15"/>
      <c r="AZ40" s="15"/>
      <c r="BA40" s="34"/>
    </row>
    <row r="41" spans="2:53" x14ac:dyDescent="0.25">
      <c r="B41" s="33"/>
      <c r="C41" s="8" t="s">
        <v>46</v>
      </c>
      <c r="D41" s="8">
        <v>116484670525.52705</v>
      </c>
      <c r="E41" s="8">
        <v>6</v>
      </c>
      <c r="F41" s="8">
        <v>19414111754.254509</v>
      </c>
      <c r="G41" s="8">
        <v>51.88524955735933</v>
      </c>
      <c r="H41" s="8">
        <v>2.8359257292107796E-28</v>
      </c>
      <c r="I41" s="8">
        <v>2.1925177893032943</v>
      </c>
      <c r="J41" s="34"/>
      <c r="L41" s="33"/>
      <c r="M41" s="15"/>
      <c r="N41" s="15"/>
      <c r="O41" s="15"/>
      <c r="P41" s="15"/>
      <c r="Q41" s="15"/>
      <c r="R41" s="34"/>
      <c r="U41" s="39">
        <v>34</v>
      </c>
      <c r="V41" s="8">
        <v>6</v>
      </c>
      <c r="W41" s="8">
        <v>91235.98</v>
      </c>
      <c r="X41" s="8">
        <v>15205.996666666666</v>
      </c>
      <c r="Y41" s="8">
        <v>704525291.96006668</v>
      </c>
      <c r="Z41" s="15"/>
      <c r="AA41" s="34"/>
      <c r="AC41" s="39" t="s">
        <v>29</v>
      </c>
      <c r="AD41" s="8">
        <v>24</v>
      </c>
      <c r="AE41" s="8" t="s">
        <v>29</v>
      </c>
      <c r="AF41" s="8">
        <v>1</v>
      </c>
      <c r="AG41" s="8" t="s">
        <v>29</v>
      </c>
      <c r="AH41" s="8">
        <v>1000</v>
      </c>
      <c r="AI41" s="8" t="s">
        <v>29</v>
      </c>
      <c r="AJ41" s="8">
        <v>0</v>
      </c>
      <c r="AK41" s="8" t="s">
        <v>29</v>
      </c>
      <c r="AL41" s="8">
        <v>0</v>
      </c>
      <c r="AM41" s="8" t="s">
        <v>29</v>
      </c>
      <c r="AN41" s="8">
        <v>10062.799999999999</v>
      </c>
      <c r="AO41" s="8" t="s">
        <v>29</v>
      </c>
      <c r="AP41" s="40">
        <v>0</v>
      </c>
      <c r="AR41" s="33"/>
      <c r="AS41" s="15"/>
      <c r="AT41" s="15"/>
      <c r="AU41" s="15"/>
      <c r="AV41" s="15"/>
      <c r="AW41" s="15"/>
      <c r="AX41" s="15"/>
      <c r="AY41" s="15"/>
      <c r="AZ41" s="15"/>
      <c r="BA41" s="34"/>
    </row>
    <row r="42" spans="2:53" ht="15.75" thickBot="1" x14ac:dyDescent="0.3">
      <c r="B42" s="33"/>
      <c r="C42" s="8" t="s">
        <v>47</v>
      </c>
      <c r="D42" s="8">
        <v>36669052729.786514</v>
      </c>
      <c r="E42" s="8">
        <v>98</v>
      </c>
      <c r="F42" s="8">
        <v>374174007.44680119</v>
      </c>
      <c r="G42" s="8"/>
      <c r="H42" s="8"/>
      <c r="I42" s="8"/>
      <c r="J42" s="34"/>
      <c r="L42" s="33" t="s">
        <v>38</v>
      </c>
      <c r="M42" s="15"/>
      <c r="N42" s="15"/>
      <c r="O42" s="15"/>
      <c r="P42" s="15"/>
      <c r="Q42" s="15"/>
      <c r="R42" s="34"/>
      <c r="U42" s="39">
        <v>45</v>
      </c>
      <c r="V42" s="8">
        <v>6</v>
      </c>
      <c r="W42" s="8">
        <v>225840.79</v>
      </c>
      <c r="X42" s="8">
        <v>37640.131666666668</v>
      </c>
      <c r="Y42" s="8">
        <v>5829895888.2760181</v>
      </c>
      <c r="Z42" s="15"/>
      <c r="AA42" s="34"/>
      <c r="AC42" s="39" t="s">
        <v>30</v>
      </c>
      <c r="AD42" s="8">
        <v>50</v>
      </c>
      <c r="AE42" s="8" t="s">
        <v>30</v>
      </c>
      <c r="AF42" s="8">
        <v>10</v>
      </c>
      <c r="AG42" s="8" t="s">
        <v>30</v>
      </c>
      <c r="AH42" s="8">
        <v>85000</v>
      </c>
      <c r="AI42" s="8" t="s">
        <v>30</v>
      </c>
      <c r="AJ42" s="8">
        <v>1</v>
      </c>
      <c r="AK42" s="8" t="s">
        <v>30</v>
      </c>
      <c r="AL42" s="8">
        <v>1</v>
      </c>
      <c r="AM42" s="8" t="s">
        <v>30</v>
      </c>
      <c r="AN42" s="8">
        <v>190857.79</v>
      </c>
      <c r="AO42" s="8" t="s">
        <v>30</v>
      </c>
      <c r="AP42" s="40">
        <v>1</v>
      </c>
      <c r="AR42" s="33"/>
      <c r="AS42" s="15"/>
      <c r="AT42" s="15" t="s">
        <v>77</v>
      </c>
      <c r="AU42" s="15" t="s">
        <v>21</v>
      </c>
      <c r="AV42" s="15" t="s">
        <v>78</v>
      </c>
      <c r="AW42" s="15" t="s">
        <v>44</v>
      </c>
      <c r="AX42" s="15" t="s">
        <v>79</v>
      </c>
      <c r="AY42" s="15" t="s">
        <v>80</v>
      </c>
      <c r="AZ42" s="15" t="s">
        <v>81</v>
      </c>
      <c r="BA42" s="34" t="s">
        <v>82</v>
      </c>
    </row>
    <row r="43" spans="2:53" x14ac:dyDescent="0.25">
      <c r="B43" s="33"/>
      <c r="C43" s="8"/>
      <c r="D43" s="8"/>
      <c r="E43" s="8"/>
      <c r="F43" s="8"/>
      <c r="G43" s="8"/>
      <c r="H43" s="8"/>
      <c r="I43" s="8"/>
      <c r="J43" s="34"/>
      <c r="L43" s="41" t="s">
        <v>39</v>
      </c>
      <c r="M43" s="7" t="s">
        <v>40</v>
      </c>
      <c r="N43" s="7" t="s">
        <v>41</v>
      </c>
      <c r="O43" s="7" t="s">
        <v>42</v>
      </c>
      <c r="P43" s="7" t="s">
        <v>43</v>
      </c>
      <c r="Q43" s="7" t="s">
        <v>44</v>
      </c>
      <c r="R43" s="43" t="s">
        <v>45</v>
      </c>
      <c r="U43" s="39">
        <v>35</v>
      </c>
      <c r="V43" s="8">
        <v>6</v>
      </c>
      <c r="W43" s="8">
        <v>118868.65</v>
      </c>
      <c r="X43" s="8">
        <v>19811.441666666666</v>
      </c>
      <c r="Y43" s="8">
        <v>958783465.45041656</v>
      </c>
      <c r="Z43" s="15"/>
      <c r="AA43" s="34"/>
      <c r="AC43" s="39" t="s">
        <v>31</v>
      </c>
      <c r="AD43" s="8">
        <v>552</v>
      </c>
      <c r="AE43" s="8" t="s">
        <v>31</v>
      </c>
      <c r="AF43" s="8">
        <v>70</v>
      </c>
      <c r="AG43" s="8" t="s">
        <v>31</v>
      </c>
      <c r="AH43" s="8">
        <v>701250</v>
      </c>
      <c r="AI43" s="8" t="s">
        <v>31</v>
      </c>
      <c r="AJ43" s="8">
        <v>10</v>
      </c>
      <c r="AK43" s="8" t="s">
        <v>31</v>
      </c>
      <c r="AL43" s="8">
        <v>7</v>
      </c>
      <c r="AM43" s="8" t="s">
        <v>31</v>
      </c>
      <c r="AN43" s="8">
        <v>1366207.93</v>
      </c>
      <c r="AO43" s="8" t="s">
        <v>31</v>
      </c>
      <c r="AP43" s="40">
        <v>4</v>
      </c>
      <c r="AR43" s="33"/>
      <c r="AS43" s="15" t="s">
        <v>75</v>
      </c>
      <c r="AT43" s="15">
        <v>5.354945968412304</v>
      </c>
      <c r="AU43" s="15">
        <v>3.610709258983571</v>
      </c>
      <c r="AV43" s="15">
        <v>1.4830731538655491</v>
      </c>
      <c r="AW43" s="15">
        <v>0.16188904066879758</v>
      </c>
      <c r="AX43" s="15">
        <v>-2.4455171422957989</v>
      </c>
      <c r="AY43" s="15">
        <v>13.155409079120407</v>
      </c>
      <c r="AZ43" s="15">
        <v>-2.4455171422957989</v>
      </c>
      <c r="BA43" s="34">
        <v>13.155409079120407</v>
      </c>
    </row>
    <row r="44" spans="2:53" ht="15.75" thickBot="1" x14ac:dyDescent="0.3">
      <c r="B44" s="33"/>
      <c r="C44" s="5" t="s">
        <v>48</v>
      </c>
      <c r="D44" s="5">
        <v>153153723255.31357</v>
      </c>
      <c r="E44" s="5">
        <v>104</v>
      </c>
      <c r="F44" s="5"/>
      <c r="G44" s="5"/>
      <c r="H44" s="5"/>
      <c r="I44" s="5"/>
      <c r="J44" s="34"/>
      <c r="L44" s="39" t="s">
        <v>51</v>
      </c>
      <c r="M44" s="8">
        <v>0</v>
      </c>
      <c r="N44" s="8">
        <v>0</v>
      </c>
      <c r="O44" s="8">
        <v>65535</v>
      </c>
      <c r="P44" s="8">
        <v>65535</v>
      </c>
      <c r="Q44" s="8" t="e">
        <v>#NUM!</v>
      </c>
      <c r="R44" s="40" t="e">
        <v>#NUM!</v>
      </c>
      <c r="U44" s="39"/>
      <c r="V44" s="8"/>
      <c r="W44" s="8"/>
      <c r="X44" s="8"/>
      <c r="Y44" s="8"/>
      <c r="Z44" s="15"/>
      <c r="AA44" s="34"/>
      <c r="AC44" s="39" t="s">
        <v>32</v>
      </c>
      <c r="AD44" s="8">
        <v>15</v>
      </c>
      <c r="AE44" s="8" t="s">
        <v>32</v>
      </c>
      <c r="AF44" s="8">
        <v>15</v>
      </c>
      <c r="AG44" s="8" t="s">
        <v>32</v>
      </c>
      <c r="AH44" s="8">
        <v>15</v>
      </c>
      <c r="AI44" s="8" t="s">
        <v>32</v>
      </c>
      <c r="AJ44" s="8">
        <v>15</v>
      </c>
      <c r="AK44" s="8" t="s">
        <v>32</v>
      </c>
      <c r="AL44" s="8">
        <v>15</v>
      </c>
      <c r="AM44" s="8" t="s">
        <v>32</v>
      </c>
      <c r="AN44" s="8">
        <v>15</v>
      </c>
      <c r="AO44" s="8" t="s">
        <v>32</v>
      </c>
      <c r="AP44" s="40">
        <v>15</v>
      </c>
      <c r="AR44" s="33"/>
      <c r="AS44" s="15" t="s">
        <v>5</v>
      </c>
      <c r="AT44" s="15">
        <v>-1.8703241895261877E-2</v>
      </c>
      <c r="AU44" s="15">
        <v>9.5872302651792876E-2</v>
      </c>
      <c r="AV44" s="15">
        <v>-0.19508493462592466</v>
      </c>
      <c r="AW44" s="15">
        <v>0.84834239593432015</v>
      </c>
      <c r="AX44" s="15">
        <v>-0.22582275956710987</v>
      </c>
      <c r="AY44" s="15">
        <v>0.18841627577658612</v>
      </c>
      <c r="AZ44" s="15">
        <v>-0.22582275956710987</v>
      </c>
      <c r="BA44" s="34">
        <v>0.18841627577658612</v>
      </c>
    </row>
    <row r="45" spans="2:53" ht="15.75" thickBot="1" x14ac:dyDescent="0.3">
      <c r="B45" s="35"/>
      <c r="C45" s="36"/>
      <c r="D45" s="36"/>
      <c r="E45" s="36"/>
      <c r="F45" s="36"/>
      <c r="G45" s="36"/>
      <c r="H45" s="36"/>
      <c r="I45" s="36"/>
      <c r="J45" s="37"/>
      <c r="L45" s="39" t="s">
        <v>52</v>
      </c>
      <c r="M45" s="8">
        <v>21836251376.17778</v>
      </c>
      <c r="N45" s="8">
        <v>2</v>
      </c>
      <c r="O45" s="8">
        <v>10918125688.08889</v>
      </c>
      <c r="P45" s="8">
        <v>51.725049481407019</v>
      </c>
      <c r="Q45" s="8">
        <v>4.6907323793742021E-12</v>
      </c>
      <c r="R45" s="40">
        <v>3.2199422931761248</v>
      </c>
      <c r="U45" s="39" t="s">
        <v>6</v>
      </c>
      <c r="V45" s="8">
        <v>15</v>
      </c>
      <c r="W45" s="8">
        <v>70</v>
      </c>
      <c r="X45" s="8">
        <v>4.666666666666667</v>
      </c>
      <c r="Y45" s="8">
        <v>8.2380952380952372</v>
      </c>
      <c r="Z45" s="15"/>
      <c r="AA45" s="34"/>
      <c r="AC45" s="42" t="s">
        <v>83</v>
      </c>
      <c r="AD45" s="5">
        <v>4.5914754361962569</v>
      </c>
      <c r="AE45" s="5" t="s">
        <v>83</v>
      </c>
      <c r="AF45" s="5">
        <v>1.5894683338355824</v>
      </c>
      <c r="AG45" s="5" t="s">
        <v>83</v>
      </c>
      <c r="AH45" s="5">
        <v>13935.50348512635</v>
      </c>
      <c r="AI45" s="5" t="s">
        <v>83</v>
      </c>
      <c r="AJ45" s="5">
        <v>0.27021772340535283</v>
      </c>
      <c r="AK45" s="5" t="s">
        <v>83</v>
      </c>
      <c r="AL45" s="5">
        <v>0.28597155838904043</v>
      </c>
      <c r="AM45" s="5" t="s">
        <v>83</v>
      </c>
      <c r="AN45" s="5">
        <v>24678.893505355216</v>
      </c>
      <c r="AO45" s="5" t="s">
        <v>83</v>
      </c>
      <c r="AP45" s="44">
        <v>0.25348669368881505</v>
      </c>
      <c r="AR45" s="35"/>
      <c r="AS45" s="36"/>
      <c r="AT45" s="36"/>
      <c r="AU45" s="36"/>
      <c r="AV45" s="36"/>
      <c r="AW45" s="36"/>
      <c r="AX45" s="36"/>
      <c r="AY45" s="36"/>
      <c r="AZ45" s="36"/>
      <c r="BA45" s="37"/>
    </row>
    <row r="46" spans="2:53" ht="15.75" thickBot="1" x14ac:dyDescent="0.3">
      <c r="L46" s="39" t="s">
        <v>53</v>
      </c>
      <c r="M46" s="8">
        <v>0</v>
      </c>
      <c r="N46" s="8">
        <v>0</v>
      </c>
      <c r="O46" s="8">
        <v>65535</v>
      </c>
      <c r="P46" s="8">
        <v>65535</v>
      </c>
      <c r="Q46" s="8" t="e">
        <v>#NUM!</v>
      </c>
      <c r="R46" s="40" t="e">
        <v>#NUM!</v>
      </c>
      <c r="U46" s="39" t="s">
        <v>7</v>
      </c>
      <c r="V46" s="8">
        <v>15</v>
      </c>
      <c r="W46" s="8">
        <v>701250</v>
      </c>
      <c r="X46" s="8">
        <v>46750</v>
      </c>
      <c r="Y46" s="8">
        <v>633240053.14285719</v>
      </c>
      <c r="Z46" s="15"/>
      <c r="AA46" s="34"/>
      <c r="AC46" s="35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7"/>
    </row>
    <row r="47" spans="2:53" x14ac:dyDescent="0.25">
      <c r="L47" s="39" t="s">
        <v>54</v>
      </c>
      <c r="M47" s="8">
        <v>8865361821.7333336</v>
      </c>
      <c r="N47" s="8">
        <v>42</v>
      </c>
      <c r="O47" s="8">
        <v>211080043.37460318</v>
      </c>
      <c r="P47" s="8"/>
      <c r="Q47" s="8"/>
      <c r="R47" s="40"/>
      <c r="U47" s="39" t="s">
        <v>8</v>
      </c>
      <c r="V47" s="8">
        <v>15</v>
      </c>
      <c r="W47" s="8">
        <v>10</v>
      </c>
      <c r="X47" s="8">
        <v>0.66666666666666663</v>
      </c>
      <c r="Y47" s="8">
        <v>0.23809523809523808</v>
      </c>
      <c r="Z47" s="15"/>
      <c r="AA47" s="34"/>
    </row>
    <row r="48" spans="2:53" x14ac:dyDescent="0.25">
      <c r="L48" s="39"/>
      <c r="M48" s="8"/>
      <c r="N48" s="8"/>
      <c r="O48" s="8"/>
      <c r="P48" s="8"/>
      <c r="Q48" s="8"/>
      <c r="R48" s="40"/>
      <c r="U48" s="39" t="s">
        <v>9</v>
      </c>
      <c r="V48" s="8">
        <v>15</v>
      </c>
      <c r="W48" s="8">
        <v>7</v>
      </c>
      <c r="X48" s="8">
        <v>0.46666666666666667</v>
      </c>
      <c r="Y48" s="8">
        <v>0.26666666666666666</v>
      </c>
      <c r="Z48" s="15"/>
      <c r="AA48" s="34"/>
    </row>
    <row r="49" spans="1:27" ht="15.75" thickBot="1" x14ac:dyDescent="0.3">
      <c r="L49" s="42" t="s">
        <v>48</v>
      </c>
      <c r="M49" s="5">
        <v>30701613197.911114</v>
      </c>
      <c r="N49" s="5">
        <v>44</v>
      </c>
      <c r="O49" s="5"/>
      <c r="P49" s="5"/>
      <c r="Q49" s="5"/>
      <c r="R49" s="44"/>
      <c r="U49" s="39" t="s">
        <v>10</v>
      </c>
      <c r="V49" s="8">
        <v>15</v>
      </c>
      <c r="W49" s="8">
        <v>1366207.93</v>
      </c>
      <c r="X49" s="8">
        <v>91080.528666666665</v>
      </c>
      <c r="Y49" s="8">
        <v>1985977921.2895105</v>
      </c>
      <c r="Z49" s="15"/>
      <c r="AA49" s="34"/>
    </row>
    <row r="50" spans="1:27" ht="15.75" thickBot="1" x14ac:dyDescent="0.3">
      <c r="U50" s="42" t="s">
        <v>11</v>
      </c>
      <c r="V50" s="5">
        <v>15</v>
      </c>
      <c r="W50" s="5">
        <v>4</v>
      </c>
      <c r="X50" s="5">
        <v>0.26666666666666666</v>
      </c>
      <c r="Y50" s="5">
        <v>0.20952380952380953</v>
      </c>
      <c r="Z50" s="15"/>
      <c r="AA50" s="34"/>
    </row>
    <row r="51" spans="1:27" x14ac:dyDescent="0.25">
      <c r="U51" s="33"/>
      <c r="V51" s="15"/>
      <c r="W51" s="15"/>
      <c r="X51" s="15"/>
      <c r="Y51" s="15"/>
      <c r="Z51" s="15"/>
      <c r="AA51" s="34"/>
    </row>
    <row r="52" spans="1:27" ht="15.75" thickBot="1" x14ac:dyDescent="0.3">
      <c r="U52" s="33"/>
      <c r="V52" s="15"/>
      <c r="W52" s="15"/>
      <c r="X52" s="15"/>
      <c r="Y52" s="15"/>
      <c r="Z52" s="15"/>
      <c r="AA52" s="34"/>
    </row>
    <row r="53" spans="1:27" ht="15.75" thickBot="1" x14ac:dyDescent="0.3">
      <c r="A53" s="29"/>
      <c r="B53" s="31"/>
      <c r="C53" s="31"/>
      <c r="D53" s="31"/>
      <c r="E53" s="32"/>
      <c r="G53" s="29"/>
      <c r="H53" s="31"/>
      <c r="I53" s="31"/>
      <c r="J53" s="31"/>
      <c r="K53" s="32"/>
      <c r="L53" s="15"/>
      <c r="U53" s="33" t="s">
        <v>38</v>
      </c>
      <c r="V53" s="15"/>
      <c r="W53" s="15"/>
      <c r="X53" s="15"/>
      <c r="Y53" s="15"/>
      <c r="Z53" s="15"/>
      <c r="AA53" s="34"/>
    </row>
    <row r="54" spans="1:27" x14ac:dyDescent="0.25">
      <c r="A54" s="33"/>
      <c r="B54" s="15" t="s">
        <v>91</v>
      </c>
      <c r="C54" s="15"/>
      <c r="D54" s="15"/>
      <c r="E54" s="34"/>
      <c r="G54" s="33"/>
      <c r="H54" s="15" t="s">
        <v>93</v>
      </c>
      <c r="I54" s="15"/>
      <c r="J54" s="15"/>
      <c r="K54" s="34"/>
      <c r="M54" s="29" t="s">
        <v>94</v>
      </c>
      <c r="N54" s="31"/>
      <c r="O54" s="32"/>
      <c r="Q54" s="11" t="s">
        <v>84</v>
      </c>
      <c r="R54" s="12"/>
      <c r="S54" s="13"/>
      <c r="U54" s="41" t="s">
        <v>39</v>
      </c>
      <c r="V54" s="7" t="s">
        <v>40</v>
      </c>
      <c r="W54" s="7" t="s">
        <v>41</v>
      </c>
      <c r="X54" s="7" t="s">
        <v>42</v>
      </c>
      <c r="Y54" s="7" t="s">
        <v>43</v>
      </c>
      <c r="Z54" s="7" t="s">
        <v>44</v>
      </c>
      <c r="AA54" s="43" t="s">
        <v>45</v>
      </c>
    </row>
    <row r="55" spans="1:27" ht="15.75" thickBot="1" x14ac:dyDescent="0.3">
      <c r="A55" s="33"/>
      <c r="B55" s="15"/>
      <c r="C55" s="15"/>
      <c r="D55" s="15"/>
      <c r="E55" s="34"/>
      <c r="G55" s="33"/>
      <c r="H55" s="15"/>
      <c r="I55" s="15"/>
      <c r="J55" s="15"/>
      <c r="K55" s="34"/>
      <c r="M55" s="33"/>
      <c r="N55" s="15"/>
      <c r="O55" s="34"/>
      <c r="Q55" s="14"/>
      <c r="R55" s="15"/>
      <c r="S55" s="16"/>
      <c r="U55" s="39" t="s">
        <v>56</v>
      </c>
      <c r="V55" s="8">
        <v>4176303793.684845</v>
      </c>
      <c r="W55" s="8">
        <v>14</v>
      </c>
      <c r="X55" s="8">
        <v>298307413.8346318</v>
      </c>
      <c r="Y55" s="8">
        <v>0.64265167677799639</v>
      </c>
      <c r="Z55" s="8">
        <v>0.82003680254017941</v>
      </c>
      <c r="AA55" s="40">
        <v>1.835683165753335</v>
      </c>
    </row>
    <row r="56" spans="1:27" x14ac:dyDescent="0.25">
      <c r="A56" s="33"/>
      <c r="B56" s="7"/>
      <c r="C56" s="7" t="s">
        <v>5</v>
      </c>
      <c r="D56" s="7" t="s">
        <v>6</v>
      </c>
      <c r="E56" s="34"/>
      <c r="G56" s="33"/>
      <c r="H56" s="7"/>
      <c r="I56" s="7" t="s">
        <v>5</v>
      </c>
      <c r="J56" s="7" t="s">
        <v>6</v>
      </c>
      <c r="K56" s="34"/>
      <c r="M56" s="41"/>
      <c r="N56" s="7" t="s">
        <v>7</v>
      </c>
      <c r="O56" s="43" t="s">
        <v>5</v>
      </c>
      <c r="Q56" s="20"/>
      <c r="R56" s="7" t="s">
        <v>5</v>
      </c>
      <c r="S56" s="21" t="s">
        <v>6</v>
      </c>
      <c r="U56" s="39" t="s">
        <v>52</v>
      </c>
      <c r="V56" s="8">
        <v>109721060837.94624</v>
      </c>
      <c r="W56" s="8">
        <v>5</v>
      </c>
      <c r="X56" s="8">
        <v>21944212167.589249</v>
      </c>
      <c r="Y56" s="8">
        <v>47.275005886682806</v>
      </c>
      <c r="Z56" s="8">
        <v>4.0853857204013266E-21</v>
      </c>
      <c r="AA56" s="40">
        <v>2.3455863266192245</v>
      </c>
    </row>
    <row r="57" spans="1:27" x14ac:dyDescent="0.25">
      <c r="A57" s="33"/>
      <c r="B57" s="8" t="s">
        <v>20</v>
      </c>
      <c r="C57" s="8">
        <v>36.799999999999997</v>
      </c>
      <c r="D57" s="8">
        <v>4.666666666666667</v>
      </c>
      <c r="E57" s="34"/>
      <c r="G57" s="33"/>
      <c r="H57" s="8" t="s">
        <v>20</v>
      </c>
      <c r="I57" s="8">
        <v>36.799999999999997</v>
      </c>
      <c r="J57" s="8">
        <v>4.666666666666667</v>
      </c>
      <c r="K57" s="34"/>
      <c r="L57" s="15"/>
      <c r="M57" s="39" t="s">
        <v>20</v>
      </c>
      <c r="N57" s="8">
        <v>46750</v>
      </c>
      <c r="O57" s="40">
        <v>36.799999999999997</v>
      </c>
      <c r="Q57" s="18" t="s">
        <v>20</v>
      </c>
      <c r="R57" s="8">
        <v>36.799999999999997</v>
      </c>
      <c r="S57" s="19">
        <v>4.666666666666667</v>
      </c>
      <c r="U57" s="39" t="s">
        <v>57</v>
      </c>
      <c r="V57" s="8">
        <v>32492747973.701675</v>
      </c>
      <c r="W57" s="8">
        <v>70</v>
      </c>
      <c r="X57" s="8">
        <v>464182113.91002393</v>
      </c>
      <c r="Y57" s="8"/>
      <c r="Z57" s="8"/>
      <c r="AA57" s="40"/>
    </row>
    <row r="58" spans="1:27" x14ac:dyDescent="0.25">
      <c r="A58" s="33"/>
      <c r="B58" s="8" t="s">
        <v>37</v>
      </c>
      <c r="C58" s="8">
        <v>68.742857142857247</v>
      </c>
      <c r="D58" s="8">
        <v>8.2380952380952372</v>
      </c>
      <c r="E58" s="34"/>
      <c r="G58" s="33"/>
      <c r="H58" s="8" t="s">
        <v>37</v>
      </c>
      <c r="I58" s="8">
        <v>68.742857142857247</v>
      </c>
      <c r="J58" s="8">
        <v>8.2380952380952372</v>
      </c>
      <c r="K58" s="34"/>
      <c r="L58" s="15"/>
      <c r="M58" s="39" t="s">
        <v>95</v>
      </c>
      <c r="N58" s="8">
        <v>15</v>
      </c>
      <c r="O58" s="40">
        <v>15</v>
      </c>
      <c r="Q58" s="18" t="s">
        <v>37</v>
      </c>
      <c r="R58" s="8">
        <v>68.742857142857247</v>
      </c>
      <c r="S58" s="19">
        <v>8.2380952380952372</v>
      </c>
      <c r="U58" s="39"/>
      <c r="V58" s="8"/>
      <c r="W58" s="8"/>
      <c r="X58" s="8"/>
      <c r="Y58" s="8"/>
      <c r="Z58" s="8"/>
      <c r="AA58" s="40"/>
    </row>
    <row r="59" spans="1:27" ht="15.75" thickBot="1" x14ac:dyDescent="0.3">
      <c r="A59" s="33"/>
      <c r="B59" s="8" t="s">
        <v>61</v>
      </c>
      <c r="C59" s="8">
        <v>15</v>
      </c>
      <c r="D59" s="8">
        <v>15</v>
      </c>
      <c r="E59" s="34"/>
      <c r="G59" s="33"/>
      <c r="H59" s="8" t="s">
        <v>61</v>
      </c>
      <c r="I59" s="8">
        <v>15</v>
      </c>
      <c r="J59" s="8">
        <v>15</v>
      </c>
      <c r="K59" s="34"/>
      <c r="L59" s="15"/>
      <c r="M59" s="39" t="s">
        <v>61</v>
      </c>
      <c r="N59" s="8">
        <v>15</v>
      </c>
      <c r="O59" s="40">
        <v>15</v>
      </c>
      <c r="Q59" s="18" t="s">
        <v>61</v>
      </c>
      <c r="R59" s="8">
        <v>15</v>
      </c>
      <c r="S59" s="19">
        <v>15</v>
      </c>
      <c r="U59" s="42" t="s">
        <v>48</v>
      </c>
      <c r="V59" s="5">
        <v>146390112605.33276</v>
      </c>
      <c r="W59" s="5">
        <v>89</v>
      </c>
      <c r="X59" s="5"/>
      <c r="Y59" s="5"/>
      <c r="Z59" s="5"/>
      <c r="AA59" s="44"/>
    </row>
    <row r="60" spans="1:27" ht="15.75" thickBot="1" x14ac:dyDescent="0.3">
      <c r="A60" s="33"/>
      <c r="B60" s="8" t="s">
        <v>92</v>
      </c>
      <c r="C60" s="8">
        <v>38.490476190476237</v>
      </c>
      <c r="D60" s="8"/>
      <c r="E60" s="34"/>
      <c r="G60" s="33"/>
      <c r="H60" s="8" t="s">
        <v>86</v>
      </c>
      <c r="I60" s="8">
        <v>0</v>
      </c>
      <c r="J60" s="8"/>
      <c r="K60" s="34"/>
      <c r="L60" s="15"/>
      <c r="M60" s="39" t="s">
        <v>86</v>
      </c>
      <c r="N60" s="8">
        <v>0</v>
      </c>
      <c r="O60" s="40"/>
      <c r="Q60" s="18" t="s">
        <v>85</v>
      </c>
      <c r="R60" s="8">
        <v>-5.402779905158811E-2</v>
      </c>
      <c r="S60" s="19"/>
      <c r="U60" s="35"/>
      <c r="V60" s="36"/>
      <c r="W60" s="36"/>
      <c r="X60" s="36"/>
      <c r="Y60" s="36"/>
      <c r="Z60" s="36"/>
      <c r="AA60" s="37"/>
    </row>
    <row r="61" spans="1:27" x14ac:dyDescent="0.25">
      <c r="A61" s="33"/>
      <c r="B61" s="8" t="s">
        <v>86</v>
      </c>
      <c r="C61" s="8">
        <v>0</v>
      </c>
      <c r="D61" s="8"/>
      <c r="E61" s="34"/>
      <c r="G61" s="33"/>
      <c r="H61" s="8" t="s">
        <v>41</v>
      </c>
      <c r="I61" s="8">
        <v>17</v>
      </c>
      <c r="J61" s="8"/>
      <c r="K61" s="34"/>
      <c r="L61" s="15"/>
      <c r="M61" s="39" t="s">
        <v>96</v>
      </c>
      <c r="N61" s="8">
        <v>33031.220490923428</v>
      </c>
      <c r="O61" s="40"/>
      <c r="Q61" s="18" t="s">
        <v>86</v>
      </c>
      <c r="R61" s="8">
        <v>0</v>
      </c>
      <c r="S61" s="19"/>
    </row>
    <row r="62" spans="1:27" x14ac:dyDescent="0.25">
      <c r="A62" s="33"/>
      <c r="B62" s="8" t="s">
        <v>41</v>
      </c>
      <c r="C62" s="8">
        <v>28</v>
      </c>
      <c r="D62" s="8"/>
      <c r="E62" s="34"/>
      <c r="G62" s="33"/>
      <c r="H62" s="8" t="s">
        <v>78</v>
      </c>
      <c r="I62" s="8">
        <v>14.184360773768947</v>
      </c>
      <c r="J62" s="8"/>
      <c r="K62" s="34"/>
      <c r="M62" s="39" t="s">
        <v>97</v>
      </c>
      <c r="N62" s="8">
        <v>0</v>
      </c>
      <c r="O62" s="40"/>
      <c r="Q62" s="18" t="s">
        <v>41</v>
      </c>
      <c r="R62" s="8">
        <v>14</v>
      </c>
      <c r="S62" s="19"/>
    </row>
    <row r="63" spans="1:27" x14ac:dyDescent="0.25">
      <c r="A63" s="33"/>
      <c r="B63" s="8" t="s">
        <v>78</v>
      </c>
      <c r="C63" s="8">
        <v>14.184360773768947</v>
      </c>
      <c r="D63" s="8"/>
      <c r="E63" s="34"/>
      <c r="G63" s="33"/>
      <c r="H63" s="8" t="s">
        <v>87</v>
      </c>
      <c r="I63" s="8">
        <v>3.7464528820167267E-11</v>
      </c>
      <c r="J63" s="8"/>
      <c r="K63" s="34"/>
      <c r="M63" s="39" t="s">
        <v>98</v>
      </c>
      <c r="N63" s="8">
        <v>1.6448536269514715</v>
      </c>
      <c r="O63" s="40"/>
      <c r="Q63" s="18" t="s">
        <v>78</v>
      </c>
      <c r="R63" s="8">
        <v>13.953232072275576</v>
      </c>
      <c r="S63" s="19"/>
    </row>
    <row r="64" spans="1:27" x14ac:dyDescent="0.25">
      <c r="A64" s="33"/>
      <c r="B64" s="8" t="s">
        <v>87</v>
      </c>
      <c r="C64" s="8">
        <v>1.3093814185997221E-14</v>
      </c>
      <c r="D64" s="8"/>
      <c r="E64" s="34"/>
      <c r="G64" s="33"/>
      <c r="H64" s="8" t="s">
        <v>88</v>
      </c>
      <c r="I64" s="8">
        <v>1.7396067260750732</v>
      </c>
      <c r="J64" s="8"/>
      <c r="K64" s="34"/>
      <c r="M64" s="39" t="s">
        <v>99</v>
      </c>
      <c r="N64" s="8">
        <v>0</v>
      </c>
      <c r="O64" s="40"/>
      <c r="Q64" s="18" t="s">
        <v>87</v>
      </c>
      <c r="R64" s="8">
        <v>6.6006795827528426E-10</v>
      </c>
      <c r="S64" s="19"/>
    </row>
    <row r="65" spans="1:19" ht="15.75" thickBot="1" x14ac:dyDescent="0.3">
      <c r="A65" s="33"/>
      <c r="B65" s="8" t="s">
        <v>88</v>
      </c>
      <c r="C65" s="8">
        <v>1.7011309342659326</v>
      </c>
      <c r="D65" s="8"/>
      <c r="E65" s="34"/>
      <c r="G65" s="33"/>
      <c r="H65" s="8" t="s">
        <v>89</v>
      </c>
      <c r="I65" s="8">
        <v>7.4929057640334534E-11</v>
      </c>
      <c r="J65" s="8"/>
      <c r="K65" s="34"/>
      <c r="M65" s="42" t="s">
        <v>100</v>
      </c>
      <c r="N65" s="5">
        <v>1.9599639845400536</v>
      </c>
      <c r="O65" s="44"/>
      <c r="Q65" s="18" t="s">
        <v>88</v>
      </c>
      <c r="R65" s="8">
        <v>1.7613101357748921</v>
      </c>
      <c r="S65" s="19"/>
    </row>
    <row r="66" spans="1:19" ht="15.75" thickBot="1" x14ac:dyDescent="0.3">
      <c r="A66" s="33"/>
      <c r="B66" s="8" t="s">
        <v>89</v>
      </c>
      <c r="C66" s="8">
        <v>2.6187628371994442E-14</v>
      </c>
      <c r="D66" s="8"/>
      <c r="E66" s="34"/>
      <c r="G66" s="33"/>
      <c r="H66" s="5" t="s">
        <v>90</v>
      </c>
      <c r="I66" s="5">
        <v>2.109815577833317</v>
      </c>
      <c r="J66" s="5"/>
      <c r="K66" s="34"/>
      <c r="Q66" s="18" t="s">
        <v>89</v>
      </c>
      <c r="R66" s="8">
        <v>1.3201359165505685E-9</v>
      </c>
      <c r="S66" s="19"/>
    </row>
    <row r="67" spans="1:19" ht="15.75" thickBot="1" x14ac:dyDescent="0.3">
      <c r="A67" s="33"/>
      <c r="B67" s="5" t="s">
        <v>90</v>
      </c>
      <c r="C67" s="5">
        <v>2.0484071417952445</v>
      </c>
      <c r="D67" s="5"/>
      <c r="E67" s="34"/>
      <c r="G67" s="33"/>
      <c r="H67" s="15"/>
      <c r="I67" s="15"/>
      <c r="J67" s="15"/>
      <c r="K67" s="34"/>
      <c r="Q67" s="22" t="s">
        <v>90</v>
      </c>
      <c r="R67" s="23">
        <v>2.1447866879178044</v>
      </c>
      <c r="S67" s="24"/>
    </row>
    <row r="68" spans="1:19" ht="15.75" thickBot="1" x14ac:dyDescent="0.3">
      <c r="A68" s="35"/>
      <c r="B68" s="36"/>
      <c r="C68" s="36"/>
      <c r="D68" s="36"/>
      <c r="E68" s="37"/>
      <c r="G68" s="35"/>
      <c r="H68" s="36"/>
      <c r="I68" s="36"/>
      <c r="J68" s="36"/>
      <c r="K68" s="37"/>
    </row>
  </sheetData>
  <sortState xmlns:xlrd2="http://schemas.microsoft.com/office/spreadsheetml/2017/richdata2" ref="AT4:AU7">
    <sortCondition descending="1" ref="AU4"/>
  </sortState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2026-06-05T04:44:33Z</dcterms:created>
  <dcterms:modified xsi:type="dcterms:W3CDTF">2026-06-05T07:28:20Z</dcterms:modified>
</cp:coreProperties>
</file>