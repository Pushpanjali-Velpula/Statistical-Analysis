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1E9AD780-115C-408C-B0D0-E3BF419016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1" l="1"/>
  <c r="R17" i="1"/>
  <c r="R16" i="1"/>
  <c r="R15" i="1"/>
  <c r="R14" i="1"/>
  <c r="O18" i="1"/>
  <c r="O17" i="1"/>
  <c r="O16" i="1"/>
  <c r="O15" i="1"/>
  <c r="O14" i="1"/>
  <c r="L19" i="1"/>
  <c r="L18" i="1"/>
  <c r="L17" i="1"/>
  <c r="L16" i="1"/>
  <c r="L15" i="1"/>
  <c r="L14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<sst xmlns="http://schemas.openxmlformats.org/spreadsheetml/2006/main" count="120" uniqueCount="50">
  <si>
    <t>Product</t>
  </si>
  <si>
    <t>TotalPrice</t>
  </si>
  <si>
    <t>Laptop</t>
  </si>
  <si>
    <t>Phone</t>
  </si>
  <si>
    <t>Monitor</t>
  </si>
  <si>
    <t>Tablet</t>
  </si>
  <si>
    <t>Description</t>
  </si>
  <si>
    <t>Apple</t>
  </si>
  <si>
    <t>Microsoft</t>
  </si>
  <si>
    <t>S.No</t>
  </si>
  <si>
    <t>Sony</t>
  </si>
  <si>
    <t>Samsung</t>
  </si>
  <si>
    <t>Vivo</t>
  </si>
  <si>
    <t>Dell</t>
  </si>
  <si>
    <t>Oppo</t>
  </si>
  <si>
    <t>TV</t>
  </si>
  <si>
    <t>Refrierator</t>
  </si>
  <si>
    <t>Smart</t>
  </si>
  <si>
    <t>LG</t>
  </si>
  <si>
    <t>HP</t>
  </si>
  <si>
    <t>lenova</t>
  </si>
  <si>
    <t>Redme</t>
  </si>
  <si>
    <t>VLOOKUP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</si>
  <si>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</si>
  <si>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</si>
  <si>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</si>
  <si>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</si>
  <si>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</si>
  <si>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</si>
  <si>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</si>
  <si>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</si>
  <si>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</si>
  <si>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</si>
  <si>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</si>
  <si>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</si>
  <si>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</si>
  <si>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</si>
  <si>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</si>
  <si>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DESCRIPTION</t>
  </si>
  <si>
    <t>HLOOKUP</t>
  </si>
  <si>
    <t>MATCH</t>
  </si>
  <si>
    <t>PRODUCT</t>
  </si>
  <si>
    <t>INDEX</t>
  </si>
  <si>
    <t>7,2</t>
  </si>
  <si>
    <t>10,1</t>
  </si>
  <si>
    <t>13,3</t>
  </si>
  <si>
    <t>2,3</t>
  </si>
  <si>
    <t>Column1</t>
  </si>
  <si>
    <t>7,1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</si>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</sst>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1" xfId="0" applyFont="1" applyFill="1" applyBorder="1"/>
    <xf numFmtId="0" fontId="0" fillId="3" borderId="1" xfId="0" applyFont="1" applyFill="1" applyBorder="1"/>
    <xf numFmtId="0" fontId="0" fillId="2" borderId="2" xfId="0" applyFon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TotalPrice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Phone</c:v>
                </c:pt>
                <c:pt idx="3">
                  <c:v>Refrierator</c:v>
                </c:pt>
                <c:pt idx="4">
                  <c:v>Tablet</c:v>
                </c:pt>
                <c:pt idx="5">
                  <c:v>TV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6"/>
                <c:pt idx="0">
                  <c:v>990895.1</c:v>
                </c:pt>
                <c:pt idx="1">
                  <c:v>667194.74999999988</c:v>
                </c:pt>
                <c:pt idx="2">
                  <c:v>1727734.8499999999</c:v>
                </c:pt>
                <c:pt idx="3">
                  <c:v>141955</c:v>
                </c:pt>
                <c:pt idx="4">
                  <c:v>263180</c:v>
                </c:pt>
                <c:pt idx="5">
                  <c:v>427968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A-451C-933F-34C69E9EB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682624"/>
        <c:axId val="490679744"/>
      </c:barChart>
      <c:catAx>
        <c:axId val="4906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79744"/>
        <c:crosses val="autoZero"/>
        <c:auto val="1"/>
        <c:lblAlgn val="ctr"/>
        <c:lblOffset val="100"/>
        <c:noMultiLvlLbl val="0"/>
      </c:catAx>
      <c:valAx>
        <c:axId val="4906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8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10</xdr:row>
      <xdr:rowOff>176212</xdr:rowOff>
    </xdr:from>
    <xdr:to>
      <xdr:col>7</xdr:col>
      <xdr:colOff>57150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0DEBD-5A23-E7D9-E10B-82536A22B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5.461642013892" createdVersion="8" refreshedVersion="8" minRefreshableVersion="3" recordCount="15" xr:uid="{1E64B445-81E1-457C-81E2-E1455A9FED0D}">
  <cacheSource type="worksheet">
    <worksheetSource name="Table1"/>
  </cacheSource>
  <cacheFields count="4">
    <cacheField name="S.No" numFmtId="0">
      <sharedItems containsSemiMixedTypes="0" containsString="0" containsNumber="1" containsInteger="1" minValue="1" maxValue="15"/>
    </cacheField>
    <cacheField name="Description" numFmtId="0">
      <sharedItems/>
    </cacheField>
    <cacheField name="Product" numFmtId="0">
      <sharedItems count="6">
        <s v="Laptop"/>
        <s v="Phone"/>
        <s v="TV"/>
        <s v="Refrierator"/>
        <s v="Monitor"/>
        <s v="Tablet"/>
      </sharedItems>
    </cacheField>
    <cacheField name="TotalPrice" numFmtId="0">
      <sharedItems containsSemiMixedTypes="0" containsString="0" containsNumber="1" minValue="11025" maxValue="882367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Microsoft"/>
    <x v="0"/>
    <n v="229040"/>
  </r>
  <r>
    <n v="2"/>
    <s v="Apple"/>
    <x v="1"/>
    <n v="436186"/>
  </r>
  <r>
    <n v="3"/>
    <s v="Microsoft"/>
    <x v="0"/>
    <n v="229040"/>
  </r>
  <r>
    <n v="4"/>
    <s v="Smart"/>
    <x v="2"/>
    <n v="427968"/>
  </r>
  <r>
    <n v="5"/>
    <s v="Sony"/>
    <x v="3"/>
    <n v="65465"/>
  </r>
  <r>
    <n v="6"/>
    <s v="LG"/>
    <x v="3"/>
    <n v="11025"/>
  </r>
  <r>
    <n v="7"/>
    <s v="HP"/>
    <x v="0"/>
    <n v="84206.1"/>
  </r>
  <r>
    <n v="8"/>
    <s v="lenova"/>
    <x v="4"/>
    <n v="667194.74999999988"/>
  </r>
  <r>
    <n v="9"/>
    <s v="Samsung"/>
    <x v="1"/>
    <n v="354568.5"/>
  </r>
  <r>
    <n v="10"/>
    <s v="Vivo"/>
    <x v="1"/>
    <n v="11450.35"/>
  </r>
  <r>
    <n v="11"/>
    <s v="Apple"/>
    <x v="5"/>
    <n v="263180"/>
  </r>
  <r>
    <n v="12"/>
    <s v="Dell"/>
    <x v="0"/>
    <n v="448609"/>
  </r>
  <r>
    <n v="13"/>
    <s v="Sony"/>
    <x v="3"/>
    <n v="65465"/>
  </r>
  <r>
    <n v="14"/>
    <s v="Oppo"/>
    <x v="1"/>
    <n v="882367.99999999988"/>
  </r>
  <r>
    <n v="15"/>
    <s v="Redme"/>
    <x v="1"/>
    <n v="43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173C9-ECF6-4909-A852-90757191179B}" name="PivotTable8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9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4"/>
        <item x="1"/>
        <item x="3"/>
        <item x="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Pric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9BD68-76D9-4C6F-AC81-F3EEB031B0E0}" name="Table1" displayName="Table1" ref="A1:D16" totalsRowShown="0" headerRowDxfId="1" dataDxfId="2">
  <autoFilter ref="A1:D16" xr:uid="{5219BD68-76D9-4C6F-AC81-F3EEB031B0E0}"/>
  <tableColumns count="4">
    <tableColumn id="1" xr3:uid="{D261BCC5-F35D-4B33-9EE2-CA889D964FEF}" name="S.No" dataDxfId="6"/>
    <tableColumn id="2" xr3:uid="{373192C6-DF2B-448E-9043-C7D992C72D0D}" name="Description" dataDxfId="5"/>
    <tableColumn id="3" xr3:uid="{AD59F90D-7374-4043-8D16-CB68D58F3260}" name="Product" dataDxfId="4"/>
    <tableColumn id="4" xr3:uid="{D58F2729-BD2B-426C-89D7-A52251B3708D}" name="TotalPric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A6C131-D083-4822-8B33-23B4DF759106}" name="Table10" displayName="Table10" ref="J5:Y8" totalsRowShown="0">
  <autoFilter ref="J5:Y8" xr:uid="{F5A6C131-D083-4822-8B33-23B4DF759106}"/>
  <tableColumns count="16">
    <tableColumn id="1" xr3:uid="{B5F09C47-4D8D-4526-BF62-39BAD3C121D7}" name="S.No"/>
    <tableColumn id="2" xr3:uid="{9484043F-2035-4631-966A-7BC3742DDA55}" name="1"/>
    <tableColumn id="3" xr3:uid="{98543D13-F0D1-42B8-BB14-659EA9625DE7}" name="2"/>
    <tableColumn id="4" xr3:uid="{D557CCDF-0B82-47A5-A27C-A41AFB2A288A}" name="3"/>
    <tableColumn id="5" xr3:uid="{808ACE65-3A6B-4E71-8787-45D508221603}" name="4"/>
    <tableColumn id="6" xr3:uid="{9A1674D9-A53D-404A-BDE9-6050B94C365E}" name="5"/>
    <tableColumn id="7" xr3:uid="{4DDCB5DF-8D00-418F-9C69-5B9A755DF91A}" name="6"/>
    <tableColumn id="8" xr3:uid="{41392356-4E78-4CC1-91FE-0DBF366AEC83}" name="7"/>
    <tableColumn id="9" xr3:uid="{E3BC9E7B-8103-48C4-875D-E12D49CBCA51}" name="8"/>
    <tableColumn id="10" xr3:uid="{0F3F0DE0-FA5B-4D60-A8BC-38A01DE4DE34}" name="9"/>
    <tableColumn id="11" xr3:uid="{4918BAF2-F56A-467F-9807-76006EAE8052}" name="10"/>
    <tableColumn id="12" xr3:uid="{06003672-E43C-4007-8233-DA19B7980E0A}" name="11"/>
    <tableColumn id="13" xr3:uid="{DA257790-FE79-4318-BB50-47ECB73AAF05}" name="12"/>
    <tableColumn id="14" xr3:uid="{83E44603-BA4D-43E9-B9C0-318ED3F1EFB4}" name="13"/>
    <tableColumn id="15" xr3:uid="{F01D0CD6-136A-43B2-AADD-EA344C9B841B}" name="14"/>
    <tableColumn id="16" xr3:uid="{A98BA8F9-29AF-4099-9278-01E05D27193D}" name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1C189D-CFCD-450C-B457-F675B22A4590}" name="Table11" displayName="Table11" ref="F6:G11" totalsRowShown="0">
  <autoFilter ref="F6:G11" xr:uid="{D11C189D-CFCD-450C-B457-F675B22A4590}"/>
  <tableColumns count="2">
    <tableColumn id="1" xr3:uid="{FC4726B9-8C5D-4870-8847-BEAC7275480E}" name="Description"/>
    <tableColumn id="2" xr3:uid="{BE7C402A-E32A-4702-A7EA-9CB5D355D903}" name="VLOOKUP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39D826-C031-4496-815F-040D12B98004}" name="Table12" displayName="Table12" ref="K13:L19" totalsRowShown="0">
  <autoFilter ref="K13:L19" xr:uid="{9D39D826-C031-4496-815F-040D12B98004}"/>
  <tableColumns count="2">
    <tableColumn id="1" xr3:uid="{FB27B48D-FDE5-48FC-8EE8-2BD1F94CDF4D}" name="DESCRIPTION" dataDxfId="0"/>
    <tableColumn id="2" xr3:uid="{A6CB99C3-53D6-4732-AD49-43B568D55C93}" name="HLOOKUP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CF6BDA7-BFA2-4560-AF4A-4E7C01C775A2}" name="Table13" displayName="Table13" ref="N13:O18" totalsRowShown="0">
  <autoFilter ref="N13:O18" xr:uid="{9CF6BDA7-BFA2-4560-AF4A-4E7C01C775A2}"/>
  <tableColumns count="2">
    <tableColumn id="1" xr3:uid="{92BD3078-2A00-4149-86B8-A54CEA332088}" name="PRODUCT"/>
    <tableColumn id="2" xr3:uid="{0E823187-F763-4ECA-9917-C5EBCBB27AE0}" name="MATCH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FB526EE-2D38-4E37-9DEC-FC5434A4AF0D}" name="Table15" displayName="Table15" ref="Q13:R18" totalsRowShown="0">
  <autoFilter ref="Q13:R18" xr:uid="{8FB526EE-2D38-4E37-9DEC-FC5434A4AF0D}"/>
  <tableColumns count="2">
    <tableColumn id="1" xr3:uid="{461B90D7-758D-44F6-94D8-B9F08749268B}" name="Column1"/>
    <tableColumn id="2" xr3:uid="{04D045C4-42BF-435E-99DB-67E6E27FA493}" name="INDEX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CE98-A304-45FA-AEEB-E9417BB8D80B}">
  <dimension ref="A3:B9"/>
  <sheetViews>
    <sheetView workbookViewId="0">
      <selection activeCell="C34" sqref="C34"/>
    </sheetView>
  </sheetViews>
  <sheetFormatPr defaultRowHeight="15" x14ac:dyDescent="0.25"/>
  <cols>
    <col min="1" max="1" width="10.7109375" bestFit="1" customWidth="1"/>
    <col min="2" max="2" width="16.5703125" bestFit="1" customWidth="1"/>
  </cols>
  <sheetData>
    <row r="3" spans="1:2" x14ac:dyDescent="0.25">
      <c r="A3" s="5" t="s">
        <v>0</v>
      </c>
      <c r="B3" t="s">
        <v>49</v>
      </c>
    </row>
    <row r="4" spans="1:2" x14ac:dyDescent="0.25">
      <c r="A4" t="s">
        <v>2</v>
      </c>
      <c r="B4" s="6">
        <v>990895.1</v>
      </c>
    </row>
    <row r="5" spans="1:2" x14ac:dyDescent="0.25">
      <c r="A5" t="s">
        <v>4</v>
      </c>
      <c r="B5" s="6">
        <v>667194.74999999988</v>
      </c>
    </row>
    <row r="6" spans="1:2" x14ac:dyDescent="0.25">
      <c r="A6" t="s">
        <v>3</v>
      </c>
      <c r="B6" s="6">
        <v>1727734.8499999999</v>
      </c>
    </row>
    <row r="7" spans="1:2" x14ac:dyDescent="0.25">
      <c r="A7" t="s">
        <v>16</v>
      </c>
      <c r="B7" s="6">
        <v>141955</v>
      </c>
    </row>
    <row r="8" spans="1:2" x14ac:dyDescent="0.25">
      <c r="A8" t="s">
        <v>5</v>
      </c>
      <c r="B8" s="6">
        <v>263180</v>
      </c>
    </row>
    <row r="9" spans="1:2" x14ac:dyDescent="0.25">
      <c r="A9" t="s">
        <v>15</v>
      </c>
      <c r="B9" s="6">
        <v>427968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N33" sqref="N33"/>
    </sheetView>
  </sheetViews>
  <sheetFormatPr defaultRowHeight="15" x14ac:dyDescent="0.25"/>
  <cols>
    <col min="2" max="2" width="13.28515625" customWidth="1"/>
    <col min="3" max="3" width="10" customWidth="1"/>
    <col min="4" max="4" width="12.85546875" customWidth="1"/>
    <col min="6" max="6" width="13.28515625" customWidth="1"/>
    <col min="7" max="7" width="11.85546875" customWidth="1"/>
    <col min="11" max="11" width="14.85546875" customWidth="1"/>
    <col min="12" max="12" width="11.85546875" customWidth="1"/>
    <col min="14" max="14" width="11.7109375" customWidth="1"/>
    <col min="15" max="15" width="9.7109375" customWidth="1"/>
    <col min="17" max="17" width="14.85546875" customWidth="1"/>
    <col min="18" max="18" width="8.5703125" customWidth="1"/>
    <col min="19" max="19" width="11.7109375" customWidth="1"/>
  </cols>
  <sheetData>
    <row r="1" spans="1:25" x14ac:dyDescent="0.25">
      <c r="A1" s="1" t="s">
        <v>9</v>
      </c>
      <c r="B1" s="1" t="s">
        <v>6</v>
      </c>
      <c r="C1" s="1" t="s">
        <v>0</v>
      </c>
      <c r="D1" s="1" t="s">
        <v>1</v>
      </c>
    </row>
    <row r="2" spans="1:25" x14ac:dyDescent="0.25">
      <c r="A2" s="1">
        <v>1</v>
      </c>
      <c r="B2" s="1" t="s">
        <v>8</v>
      </c>
      <c r="C2" s="1" t="s">
        <v>2</v>
      </c>
      <c r="D2" s="1">
        <v>229040</v>
      </c>
    </row>
    <row r="3" spans="1:25" x14ac:dyDescent="0.25">
      <c r="A3" s="1">
        <v>2</v>
      </c>
      <c r="B3" s="1" t="s">
        <v>7</v>
      </c>
      <c r="C3" s="1" t="s">
        <v>3</v>
      </c>
      <c r="D3" s="1">
        <v>436186</v>
      </c>
    </row>
    <row r="4" spans="1:25" x14ac:dyDescent="0.25">
      <c r="A4" s="1">
        <v>3</v>
      </c>
      <c r="B4" s="1" t="s">
        <v>8</v>
      </c>
      <c r="C4" s="1" t="s">
        <v>2</v>
      </c>
      <c r="D4" s="1">
        <v>229040</v>
      </c>
    </row>
    <row r="5" spans="1:25" x14ac:dyDescent="0.25">
      <c r="A5" s="1">
        <v>4</v>
      </c>
      <c r="B5" s="1" t="s">
        <v>17</v>
      </c>
      <c r="C5" s="1" t="s">
        <v>15</v>
      </c>
      <c r="D5" s="1">
        <v>427968</v>
      </c>
      <c r="J5" t="s">
        <v>9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</row>
    <row r="6" spans="1:25" x14ac:dyDescent="0.25">
      <c r="A6" s="1">
        <v>5</v>
      </c>
      <c r="B6" s="1" t="s">
        <v>10</v>
      </c>
      <c r="C6" s="1" t="s">
        <v>16</v>
      </c>
      <c r="D6" s="1">
        <v>65465</v>
      </c>
      <c r="F6" t="s">
        <v>6</v>
      </c>
      <c r="G6" t="s">
        <v>22</v>
      </c>
      <c r="J6" t="s">
        <v>6</v>
      </c>
      <c r="K6" t="s">
        <v>8</v>
      </c>
      <c r="L6" t="s">
        <v>7</v>
      </c>
      <c r="M6" t="s">
        <v>8</v>
      </c>
      <c r="N6" t="s">
        <v>17</v>
      </c>
      <c r="O6" t="s">
        <v>10</v>
      </c>
      <c r="P6" t="s">
        <v>18</v>
      </c>
      <c r="Q6" t="s">
        <v>19</v>
      </c>
      <c r="R6" t="s">
        <v>20</v>
      </c>
      <c r="S6" t="s">
        <v>11</v>
      </c>
      <c r="T6" t="s">
        <v>12</v>
      </c>
      <c r="U6" t="s">
        <v>7</v>
      </c>
      <c r="V6" t="s">
        <v>13</v>
      </c>
      <c r="W6" t="s">
        <v>10</v>
      </c>
      <c r="X6" t="s">
        <v>14</v>
      </c>
      <c r="Y6" t="s">
        <v>21</v>
      </c>
    </row>
    <row r="7" spans="1:25" x14ac:dyDescent="0.25">
      <c r="A7" s="1">
        <v>6</v>
      </c>
      <c r="B7" s="1" t="s">
        <v>18</v>
      </c>
      <c r="C7" s="1" t="s">
        <v>16</v>
      </c>
      <c r="D7" s="1">
        <v>11025</v>
      </c>
      <c r="F7" t="s">
        <v>7</v>
      </c>
      <c r="G7">
        <f>VLOOKUP(B3,Table1[[Description]:[TotalPrice]],3,0)</f>
        <v>436186</v>
      </c>
      <c r="J7" t="s">
        <v>0</v>
      </c>
      <c r="K7" t="s">
        <v>2</v>
      </c>
      <c r="L7" t="s">
        <v>3</v>
      </c>
      <c r="M7" t="s">
        <v>2</v>
      </c>
      <c r="N7" t="s">
        <v>15</v>
      </c>
      <c r="O7" t="s">
        <v>16</v>
      </c>
      <c r="P7" t="s">
        <v>16</v>
      </c>
      <c r="Q7" t="s">
        <v>2</v>
      </c>
      <c r="R7" t="s">
        <v>4</v>
      </c>
      <c r="S7" t="s">
        <v>3</v>
      </c>
      <c r="T7" t="s">
        <v>3</v>
      </c>
      <c r="U7" t="s">
        <v>5</v>
      </c>
      <c r="V7" t="s">
        <v>2</v>
      </c>
      <c r="W7" t="s">
        <v>16</v>
      </c>
      <c r="X7" t="s">
        <v>3</v>
      </c>
      <c r="Y7" t="s">
        <v>3</v>
      </c>
    </row>
    <row r="8" spans="1:25" x14ac:dyDescent="0.25">
      <c r="A8" s="1">
        <v>7</v>
      </c>
      <c r="B8" s="1" t="s">
        <v>19</v>
      </c>
      <c r="C8" s="1" t="s">
        <v>2</v>
      </c>
      <c r="D8" s="1">
        <v>84206.1</v>
      </c>
      <c r="F8" t="s">
        <v>11</v>
      </c>
      <c r="G8">
        <f>VLOOKUP(B10,Table1[[Description]:[TotalPrice]],3,0)</f>
        <v>354568.5</v>
      </c>
      <c r="J8" t="s">
        <v>1</v>
      </c>
      <c r="K8">
        <v>229040</v>
      </c>
      <c r="L8">
        <v>436186</v>
      </c>
      <c r="M8">
        <v>229040</v>
      </c>
      <c r="N8">
        <v>427968</v>
      </c>
      <c r="O8">
        <v>65465</v>
      </c>
      <c r="P8">
        <v>11025</v>
      </c>
      <c r="Q8">
        <v>84206.1</v>
      </c>
      <c r="R8">
        <v>667194.74999999988</v>
      </c>
      <c r="S8">
        <v>354568.5</v>
      </c>
      <c r="T8">
        <v>11450.35</v>
      </c>
      <c r="U8">
        <v>263180</v>
      </c>
      <c r="V8">
        <v>448609</v>
      </c>
      <c r="W8">
        <v>65465</v>
      </c>
      <c r="X8">
        <v>882367.99999999988</v>
      </c>
      <c r="Y8">
        <v>43162</v>
      </c>
    </row>
    <row r="9" spans="1:25" x14ac:dyDescent="0.25">
      <c r="A9" s="1">
        <v>8</v>
      </c>
      <c r="B9" s="1" t="s">
        <v>20</v>
      </c>
      <c r="C9" s="1" t="s">
        <v>4</v>
      </c>
      <c r="D9" s="1">
        <v>667194.74999999988</v>
      </c>
      <c r="F9" t="s">
        <v>13</v>
      </c>
      <c r="G9">
        <f>VLOOKUP(B13,Table1[[Description]:[TotalPrice]],3,0)</f>
        <v>448609</v>
      </c>
    </row>
    <row r="10" spans="1:25" x14ac:dyDescent="0.25">
      <c r="A10" s="1">
        <v>9</v>
      </c>
      <c r="B10" s="1" t="s">
        <v>11</v>
      </c>
      <c r="C10" s="1" t="s">
        <v>3</v>
      </c>
      <c r="D10" s="1">
        <v>354568.5</v>
      </c>
      <c r="F10" t="s">
        <v>21</v>
      </c>
      <c r="G10">
        <f>VLOOKUP(B16,Table1[[Description]:[TotalPrice]],3,0)</f>
        <v>43162</v>
      </c>
    </row>
    <row r="11" spans="1:25" x14ac:dyDescent="0.25">
      <c r="A11" s="1">
        <v>10</v>
      </c>
      <c r="B11" s="1" t="s">
        <v>12</v>
      </c>
      <c r="C11" s="1" t="s">
        <v>3</v>
      </c>
      <c r="D11" s="1">
        <v>11450.35</v>
      </c>
      <c r="F11" t="s">
        <v>10</v>
      </c>
      <c r="G11">
        <f>VLOOKUP(B14,Table1[[Description]:[TotalPrice]],3,0)</f>
        <v>65465</v>
      </c>
    </row>
    <row r="12" spans="1:25" x14ac:dyDescent="0.25">
      <c r="A12" s="1">
        <v>11</v>
      </c>
      <c r="B12" s="1" t="s">
        <v>7</v>
      </c>
      <c r="C12" s="1" t="s">
        <v>5</v>
      </c>
      <c r="D12" s="1">
        <v>263180</v>
      </c>
    </row>
    <row r="13" spans="1:25" x14ac:dyDescent="0.25">
      <c r="A13" s="1">
        <v>12</v>
      </c>
      <c r="B13" s="1" t="s">
        <v>13</v>
      </c>
      <c r="C13" s="1" t="s">
        <v>2</v>
      </c>
      <c r="D13" s="1">
        <v>448609</v>
      </c>
      <c r="K13" t="s">
        <v>38</v>
      </c>
      <c r="L13" t="s">
        <v>39</v>
      </c>
      <c r="N13" t="s">
        <v>41</v>
      </c>
      <c r="O13" t="s">
        <v>40</v>
      </c>
      <c r="Q13" t="s">
        <v>47</v>
      </c>
      <c r="R13" t="s">
        <v>42</v>
      </c>
    </row>
    <row r="14" spans="1:25" x14ac:dyDescent="0.25">
      <c r="A14" s="1">
        <v>13</v>
      </c>
      <c r="B14" s="1" t="s">
        <v>10</v>
      </c>
      <c r="C14" s="1" t="s">
        <v>16</v>
      </c>
      <c r="D14" s="1">
        <v>65465</v>
      </c>
      <c r="K14" t="s">
        <v>17</v>
      </c>
      <c r="L14">
        <f>HLOOKUP(N6,Table10[[1]:[15]],3,0)</f>
        <v>427968</v>
      </c>
      <c r="N14" t="s">
        <v>2</v>
      </c>
      <c r="O14">
        <f>MATCH(K7,K7:Y7,0)</f>
        <v>1</v>
      </c>
      <c r="Q14" t="s">
        <v>43</v>
      </c>
      <c r="R14" t="str">
        <f>INDEX(Table1[[Description]:[TotalPrice]],7,2)</f>
        <v>Laptop</v>
      </c>
    </row>
    <row r="15" spans="1:25" x14ac:dyDescent="0.25">
      <c r="A15" s="1">
        <v>14</v>
      </c>
      <c r="B15" s="1" t="s">
        <v>14</v>
      </c>
      <c r="C15" s="1" t="s">
        <v>3</v>
      </c>
      <c r="D15" s="1">
        <v>882367.99999999988</v>
      </c>
      <c r="K15" s="2" t="s">
        <v>7</v>
      </c>
      <c r="L15">
        <f>HLOOKUP(L6,Table10[[1]:[15]],3,1)</f>
        <v>436186</v>
      </c>
      <c r="N15" t="s">
        <v>3</v>
      </c>
      <c r="O15">
        <f>MATCH(S7,K7:Y7,0)</f>
        <v>2</v>
      </c>
      <c r="Q15" t="s">
        <v>44</v>
      </c>
      <c r="R15" t="str">
        <f>INDEX(Table1[[Description]:[TotalPrice]],10,1)</f>
        <v>Vivo</v>
      </c>
    </row>
    <row r="16" spans="1:25" x14ac:dyDescent="0.25">
      <c r="A16" s="1">
        <v>15</v>
      </c>
      <c r="B16" s="1" t="s">
        <v>21</v>
      </c>
      <c r="C16" s="1" t="s">
        <v>3</v>
      </c>
      <c r="D16" s="1">
        <v>43162</v>
      </c>
      <c r="K16" s="3" t="s">
        <v>11</v>
      </c>
      <c r="L16">
        <f>HLOOKUP(S6,Table10[[1]:[15]],3,0)</f>
        <v>354568.5</v>
      </c>
      <c r="N16" t="s">
        <v>16</v>
      </c>
      <c r="O16">
        <f>MATCH(W7,K7:Y7,0)</f>
        <v>5</v>
      </c>
      <c r="Q16" t="s">
        <v>45</v>
      </c>
      <c r="R16">
        <f>INDEX(Table1[[Description]:[TotalPrice]],13,3)</f>
        <v>65465</v>
      </c>
    </row>
    <row r="17" spans="11:18" x14ac:dyDescent="0.25">
      <c r="K17" s="2" t="s">
        <v>13</v>
      </c>
      <c r="L17">
        <f>HLOOKUP(V6,Table10[[1]:[15]],3,0)</f>
        <v>448609</v>
      </c>
      <c r="N17" t="s">
        <v>15</v>
      </c>
      <c r="O17">
        <f>MATCH(N7,K7:Y7,0)</f>
        <v>4</v>
      </c>
      <c r="Q17" t="s">
        <v>46</v>
      </c>
      <c r="R17">
        <f>INDEX(Table1[[Description]:[TotalPrice]],2,3)</f>
        <v>436186</v>
      </c>
    </row>
    <row r="18" spans="11:18" x14ac:dyDescent="0.25">
      <c r="K18" s="3" t="s">
        <v>21</v>
      </c>
      <c r="L18">
        <f>HLOOKUP(Y6,Table10[[1]:[15]],3,0)</f>
        <v>43162</v>
      </c>
      <c r="N18" t="s">
        <v>4</v>
      </c>
      <c r="O18">
        <f>MATCH(R7,K7:Y7,0)</f>
        <v>8</v>
      </c>
      <c r="Q18" t="s">
        <v>48</v>
      </c>
      <c r="R18" t="str">
        <f>INDEX(Table1[[Description]:[TotalPrice]],7,1)</f>
        <v>HP</v>
      </c>
    </row>
    <row r="19" spans="11:18" x14ac:dyDescent="0.25">
      <c r="K19" s="4" t="s">
        <v>10</v>
      </c>
      <c r="L19">
        <f>HLOOKUP(W6,Table10[[1]:[15]],3,1)</f>
        <v>43162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2025-06-21T13:19:11Z</dcterms:created>
  <dcterms:modified xsi:type="dcterms:W3CDTF">2026-06-02T05:38:53Z</dcterms:modified>
</cp:coreProperties>
</file>