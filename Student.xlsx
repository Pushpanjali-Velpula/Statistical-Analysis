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327A28A3-3198-4A9C-87AA-9CECAFC91D72}" xr6:coauthVersionLast="47" xr6:coauthVersionMax="47" xr10:uidLastSave="{00000000-0000-0000-0000-000000000000}"/>
  <bookViews>
    <workbookView xWindow="-120" yWindow="-120" windowWidth="29040" windowHeight="15720" xr2:uid="{FEC244B0-CEFF-49D2-B965-074816BB1A04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  <definedName name="_xlchart.v1.3" hidden="1">Sheet1!$C$1</definedName>
    <definedName name="_xlchart.v1.4" hidden="1">Sheet1!$C$2:$C$6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 a="1"/>
  <c r="E13" i="1" s="1"/>
  <c r="E12" i="1"/>
  <c r="E11" i="1"/>
  <c r="E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<sst xmlns="http://schemas.openxmlformats.org/spreadsheetml/2006/main" count="54" uniqueCount="48">
  <si>
    <t>Name</t>
  </si>
  <si>
    <t>Marks</t>
  </si>
  <si>
    <t>Hours</t>
  </si>
  <si>
    <t>alice</t>
  </si>
  <si>
    <t>bob</t>
  </si>
  <si>
    <t>push</t>
  </si>
  <si>
    <t>sai</t>
  </si>
  <si>
    <t>pavani</t>
  </si>
  <si>
    <t>Mean</t>
  </si>
  <si>
    <t>Median</t>
  </si>
  <si>
    <t>Mode</t>
  </si>
  <si>
    <t>Range</t>
  </si>
  <si>
    <t>std</t>
  </si>
  <si>
    <t>correlation</t>
  </si>
  <si>
    <t>Column1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</si>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</sst>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Sheet1!$A$2:$A$6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push</c:v>
                </c:pt>
                <c:pt idx="3">
                  <c:v>sai</c:v>
                </c:pt>
                <c:pt idx="4">
                  <c:v>pavani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56</c:v>
                </c:pt>
                <c:pt idx="1">
                  <c:v>78</c:v>
                </c:pt>
                <c:pt idx="2">
                  <c:v>98</c:v>
                </c:pt>
                <c:pt idx="3">
                  <c:v>50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9-4940-A6AC-B56280490D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Sheet1!$A$2:$A$6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push</c:v>
                </c:pt>
                <c:pt idx="3">
                  <c:v>sai</c:v>
                </c:pt>
                <c:pt idx="4">
                  <c:v>pavani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9-4940-A6AC-B5628049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push</c:v>
                </c:pt>
                <c:pt idx="3">
                  <c:v>sai</c:v>
                </c:pt>
                <c:pt idx="4">
                  <c:v>pavani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56</c:v>
                </c:pt>
                <c:pt idx="1">
                  <c:v>78</c:v>
                </c:pt>
                <c:pt idx="2">
                  <c:v>98</c:v>
                </c:pt>
                <c:pt idx="3">
                  <c:v>50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3-437B-BA5D-484010235E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push</c:v>
                </c:pt>
                <c:pt idx="3">
                  <c:v>sai</c:v>
                </c:pt>
                <c:pt idx="4">
                  <c:v>pavani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3-437B-BA5D-484010235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320991"/>
        <c:axId val="590260511"/>
      </c:barChart>
      <c:catAx>
        <c:axId val="59032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60511"/>
        <c:crosses val="autoZero"/>
        <c:auto val="1"/>
        <c:lblAlgn val="ctr"/>
        <c:lblOffset val="100"/>
        <c:noMultiLvlLbl val="0"/>
      </c:catAx>
      <c:valAx>
        <c:axId val="5902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2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400050</xdr:colOff>
      <xdr:row>0</xdr:row>
      <xdr:rowOff>104775</xdr:rowOff>
    </xdr:from>
    <xdr:to>
      <xdr:col>23</xdr:col>
      <xdr:colOff>361950</xdr:colOff>
      <xdr:row>11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607D5-0E45-BBC5-F683-E400D44B0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485774</xdr:colOff>
      <xdr:row>0</xdr:row>
      <xdr:rowOff>71437</xdr:rowOff>
    </xdr:from>
    <xdr:to>
      <xdr:col>28</xdr:col>
      <xdr:colOff>419099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87E56D-B22C-96D0-466D-835437F9C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583EB-D7B6-47CC-A367-55B6D51EF188}" name="Table1" displayName="Table1" ref="A1:C6" totalsRowShown="0">
  <autoFilter ref="A1:C6" xr:uid="{E77583EB-D7B6-47CC-A367-55B6D51EF188}"/>
  <tableColumns count="3">
    <tableColumn id="1" xr3:uid="{B2D477E9-625E-4A04-9931-27D848D495D1}" name="Name"/>
    <tableColumn id="2" xr3:uid="{FF03758B-0B8C-48AE-8A74-E18795FE6A9F}" name="Marks"/>
    <tableColumn id="3" xr3:uid="{A8224D89-6090-4187-B565-4A40813DFF46}" name="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9F0E-CE96-4622-91B6-0925B239ED03}">
  <dimension ref="A1:T29"/>
  <sheetViews>
    <sheetView tabSelected="1" workbookViewId="0">
      <selection activeCell="L6" sqref="L6"/>
    </sheetView>
  </sheetViews>
  <sheetFormatPr defaultRowHeight="15" x14ac:dyDescent="0.25"/>
  <cols>
    <col min="3" max="3" width="11.140625" customWidth="1"/>
    <col min="4" max="4" width="10.7109375" customWidth="1"/>
    <col min="9" max="9" width="20.140625" customWidth="1"/>
  </cols>
  <sheetData>
    <row r="1" spans="1:13" x14ac:dyDescent="0.25">
      <c r="A1" t="s">
        <v>0</v>
      </c>
      <c r="B1" t="s">
        <v>1</v>
      </c>
      <c r="C1" t="s">
        <v>2</v>
      </c>
    </row>
    <row r="2" spans="1:13" x14ac:dyDescent="0.25">
      <c r="A2" t="s">
        <v>3</v>
      </c>
      <c r="B2">
        <v>56</v>
      </c>
      <c r="C2">
        <v>4</v>
      </c>
    </row>
    <row r="3" spans="1:13" x14ac:dyDescent="0.25">
      <c r="A3" t="s">
        <v>4</v>
      </c>
      <c r="B3">
        <v>78</v>
      </c>
      <c r="C3">
        <v>6</v>
      </c>
    </row>
    <row r="4" spans="1:13" x14ac:dyDescent="0.25">
      <c r="A4" t="s">
        <v>5</v>
      </c>
      <c r="B4">
        <v>98</v>
      </c>
      <c r="C4">
        <v>8</v>
      </c>
    </row>
    <row r="5" spans="1:13" x14ac:dyDescent="0.25">
      <c r="A5" t="s">
        <v>6</v>
      </c>
      <c r="B5">
        <v>50</v>
      </c>
      <c r="C5">
        <v>4</v>
      </c>
    </row>
    <row r="6" spans="1:13" x14ac:dyDescent="0.25">
      <c r="A6" t="s">
        <v>7</v>
      </c>
      <c r="B6">
        <v>89</v>
      </c>
      <c r="C6">
        <v>7</v>
      </c>
    </row>
    <row r="10" spans="1:13" x14ac:dyDescent="0.25">
      <c r="D10" t="s">
        <v>8</v>
      </c>
      <c r="E10">
        <f>AVERAGE(C2:C6)</f>
        <v>5.8</v>
      </c>
    </row>
    <row r="11" spans="1:13" ht="15.75" thickBot="1" x14ac:dyDescent="0.3">
      <c r="D11" t="s">
        <v>9</v>
      </c>
      <c r="E11">
        <f>MEDIAN(C2:C6)</f>
        <v>6</v>
      </c>
    </row>
    <row r="12" spans="1:13" x14ac:dyDescent="0.25">
      <c r="D12" t="s">
        <v>10</v>
      </c>
      <c r="E12">
        <f>MODE(C2:C6)</f>
        <v>4</v>
      </c>
      <c r="I12" s="4" t="s">
        <v>14</v>
      </c>
      <c r="J12" s="4"/>
      <c r="L12" t="s">
        <v>24</v>
      </c>
    </row>
    <row r="13" spans="1:13" ht="15.75" thickBot="1" x14ac:dyDescent="0.3">
      <c r="D13" t="s">
        <v>11</v>
      </c>
      <c r="E13" cm="1">
        <f t="array" ref="E13">MAX(Table1[Hours]-MIN(Table1[Hours]))</f>
        <v>4</v>
      </c>
      <c r="I13" s="1"/>
      <c r="J13" s="1"/>
    </row>
    <row r="14" spans="1:13" x14ac:dyDescent="0.25">
      <c r="D14" t="s">
        <v>12</v>
      </c>
      <c r="E14">
        <f>STDEV(Table1[Hours])</f>
        <v>1.7888543819998326</v>
      </c>
      <c r="I14" s="1" t="s">
        <v>8</v>
      </c>
      <c r="J14" s="1">
        <v>5.8</v>
      </c>
      <c r="L14" s="4" t="s">
        <v>25</v>
      </c>
      <c r="M14" s="4"/>
    </row>
    <row r="15" spans="1:13" x14ac:dyDescent="0.25">
      <c r="D15" t="s">
        <v>13</v>
      </c>
      <c r="E15">
        <f>CORREL(Table1[Hours],Table1[Hours])</f>
        <v>0.99999999999999978</v>
      </c>
      <c r="I15" s="1" t="s">
        <v>15</v>
      </c>
      <c r="J15" s="1">
        <v>0.80000000000000038</v>
      </c>
      <c r="L15" s="1" t="s">
        <v>26</v>
      </c>
      <c r="M15" s="1">
        <v>0.99298565108559478</v>
      </c>
    </row>
    <row r="16" spans="1:13" x14ac:dyDescent="0.25">
      <c r="I16" s="1" t="s">
        <v>9</v>
      </c>
      <c r="J16" s="1">
        <v>6</v>
      </c>
      <c r="L16" s="1" t="s">
        <v>27</v>
      </c>
      <c r="M16" s="1">
        <v>0.98602050326188262</v>
      </c>
    </row>
    <row r="17" spans="9:20" x14ac:dyDescent="0.25">
      <c r="I17" s="1" t="s">
        <v>10</v>
      </c>
      <c r="J17" s="1">
        <v>4</v>
      </c>
      <c r="L17" s="1" t="s">
        <v>28</v>
      </c>
      <c r="M17" s="1">
        <v>0.98136067101584346</v>
      </c>
    </row>
    <row r="18" spans="9:20" x14ac:dyDescent="0.25">
      <c r="I18" s="1" t="s">
        <v>16</v>
      </c>
      <c r="J18" s="1">
        <v>1.7888543819998326</v>
      </c>
      <c r="L18" s="1" t="s">
        <v>15</v>
      </c>
      <c r="M18" s="1">
        <v>2.8284271247461912</v>
      </c>
    </row>
    <row r="19" spans="9:20" ht="15.75" thickBot="1" x14ac:dyDescent="0.3">
      <c r="I19" s="1" t="s">
        <v>17</v>
      </c>
      <c r="J19" s="1">
        <v>3.2000000000000028</v>
      </c>
      <c r="L19" s="2" t="s">
        <v>29</v>
      </c>
      <c r="M19" s="2">
        <v>5</v>
      </c>
    </row>
    <row r="20" spans="9:20" x14ac:dyDescent="0.25">
      <c r="I20" s="1" t="s">
        <v>18</v>
      </c>
      <c r="J20" s="1">
        <v>-2.3242187499999973</v>
      </c>
    </row>
    <row r="21" spans="9:20" ht="15.75" thickBot="1" x14ac:dyDescent="0.3">
      <c r="I21" s="1" t="s">
        <v>19</v>
      </c>
      <c r="J21" s="1">
        <v>5.2407843222651691E-2</v>
      </c>
      <c r="L21" t="s">
        <v>30</v>
      </c>
    </row>
    <row r="22" spans="9:20" x14ac:dyDescent="0.25">
      <c r="I22" s="1" t="s">
        <v>11</v>
      </c>
      <c r="J22" s="1">
        <v>4</v>
      </c>
      <c r="L22" s="3"/>
      <c r="M22" s="3" t="s">
        <v>35</v>
      </c>
      <c r="N22" s="3" t="s">
        <v>36</v>
      </c>
      <c r="O22" s="3" t="s">
        <v>37</v>
      </c>
      <c r="P22" s="3" t="s">
        <v>38</v>
      </c>
      <c r="Q22" s="3" t="s">
        <v>39</v>
      </c>
    </row>
    <row r="23" spans="9:20" x14ac:dyDescent="0.25">
      <c r="I23" s="1" t="s">
        <v>20</v>
      </c>
      <c r="J23" s="1">
        <v>4</v>
      </c>
      <c r="L23" s="1" t="s">
        <v>31</v>
      </c>
      <c r="M23" s="1">
        <v>1</v>
      </c>
      <c r="N23" s="1">
        <v>1692.8</v>
      </c>
      <c r="O23" s="1">
        <v>1692.8</v>
      </c>
      <c r="P23" s="1">
        <v>211.59999999999985</v>
      </c>
      <c r="Q23" s="1">
        <v>7.0446177675168281E-4</v>
      </c>
    </row>
    <row r="24" spans="9:20" x14ac:dyDescent="0.25">
      <c r="I24" s="1" t="s">
        <v>21</v>
      </c>
      <c r="J24" s="1">
        <v>8</v>
      </c>
      <c r="L24" s="1" t="s">
        <v>32</v>
      </c>
      <c r="M24" s="1">
        <v>3</v>
      </c>
      <c r="N24" s="1">
        <v>24.000000000000018</v>
      </c>
      <c r="O24" s="1">
        <v>8.0000000000000053</v>
      </c>
      <c r="P24" s="1"/>
      <c r="Q24" s="1"/>
    </row>
    <row r="25" spans="9:20" ht="15.75" thickBot="1" x14ac:dyDescent="0.3">
      <c r="I25" s="1" t="s">
        <v>22</v>
      </c>
      <c r="J25" s="1">
        <v>29</v>
      </c>
      <c r="L25" s="2" t="s">
        <v>33</v>
      </c>
      <c r="M25" s="2">
        <v>4</v>
      </c>
      <c r="N25" s="2">
        <v>1716.8</v>
      </c>
      <c r="O25" s="2"/>
      <c r="P25" s="2"/>
      <c r="Q25" s="2"/>
    </row>
    <row r="26" spans="9:20" ht="15.75" thickBot="1" x14ac:dyDescent="0.3">
      <c r="I26" s="2" t="s">
        <v>23</v>
      </c>
      <c r="J26" s="2">
        <v>5</v>
      </c>
    </row>
    <row r="27" spans="9:20" x14ac:dyDescent="0.25">
      <c r="L27" s="3"/>
      <c r="M27" s="3" t="s">
        <v>40</v>
      </c>
      <c r="N27" s="3" t="s">
        <v>15</v>
      </c>
      <c r="O27" s="3" t="s">
        <v>41</v>
      </c>
      <c r="P27" s="3" t="s">
        <v>42</v>
      </c>
      <c r="Q27" s="3" t="s">
        <v>43</v>
      </c>
      <c r="R27" s="3" t="s">
        <v>44</v>
      </c>
      <c r="S27" s="3" t="s">
        <v>45</v>
      </c>
      <c r="T27" s="3" t="s">
        <v>46</v>
      </c>
    </row>
    <row r="28" spans="9:20" x14ac:dyDescent="0.25">
      <c r="L28" s="1" t="s">
        <v>34</v>
      </c>
      <c r="M28" s="1">
        <v>7.5</v>
      </c>
      <c r="N28" s="1">
        <v>4.7565743976101142</v>
      </c>
      <c r="O28" s="1">
        <v>1.5767649936829093</v>
      </c>
      <c r="P28" s="1">
        <v>0.21294444945016142</v>
      </c>
      <c r="Q28" s="1">
        <v>-7.6375426174813921</v>
      </c>
      <c r="R28" s="1">
        <v>22.637542617481394</v>
      </c>
      <c r="S28" s="1">
        <v>-7.6375426174813921</v>
      </c>
      <c r="T28" s="1">
        <v>22.637542617481394</v>
      </c>
    </row>
    <row r="29" spans="9:20" ht="15.75" thickBot="1" x14ac:dyDescent="0.3">
      <c r="L29" s="2" t="s">
        <v>47</v>
      </c>
      <c r="M29" s="2">
        <v>11.500000000000002</v>
      </c>
      <c r="N29" s="2">
        <v>0.79056941504209521</v>
      </c>
      <c r="O29" s="2">
        <v>14.546477236774541</v>
      </c>
      <c r="P29" s="2">
        <v>7.0446177675168281E-4</v>
      </c>
      <c r="Q29" s="2">
        <v>8.9840552860289833</v>
      </c>
      <c r="R29" s="2">
        <v>14.01594471397102</v>
      </c>
      <c r="S29" s="2">
        <v>8.9840552860289833</v>
      </c>
      <c r="T29" s="2">
        <v>14.01594471397102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2026-05-27T04:02:19Z</dcterms:created>
  <dcterms:modified xsi:type="dcterms:W3CDTF">2026-05-27T04:24:23Z</dcterms:modified>
</cp:coreProperties>
</file>