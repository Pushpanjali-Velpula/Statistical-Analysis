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4931966E-6E27-4255-83F8-8823FB98435D}" xr6:coauthVersionLast="47" xr6:coauthVersionMax="47" xr10:uidLastSave="{00000000-0000-0000-0000-000000000000}"/>
  <bookViews>
    <workbookView xWindow="-120" yWindow="-120" windowWidth="29040" windowHeight="15720" xr2:uid="{5FF349FF-FCE3-4B3A-A4EA-CAABA5C13D87}"/>
  </bookViews>
  <sheets>
    <sheet name="Bank Customer Churn Prediction" sheetId="1" r:id="rId1"/>
  </sheets>
  <calcPr calcId="0"/>
</workbook>
</file>

<file path=xl/calcChain.xml><?xml version="1.0" encoding="utf-8"?>
<calcChain xmlns="http://schemas.openxmlformats.org/spreadsheetml/2006/main">
  <c r="Y17" i="1" l="1"/>
  <c r="V19" i="1"/>
  <c r="V13" i="1"/>
  <c r="V9" i="1"/>
  <c r="V23" i="1"/>
  <c r="V21" i="1"/>
  <c r="V15" i="1"/>
  <c r="V17" i="1"/>
  <c r="V11" i="1"/>
  <c r="R20" i="1"/>
  <c r="R18" i="1"/>
  <c r="R16" i="1"/>
  <c r="R14" i="1"/>
  <c r="R12" i="1"/>
</calcChain>
</file>

<file path=xl/sharedStrings.xml><?xml version="1.0" encoding="utf-8"?>
<sst xmlns="http://schemas.openxmlformats.org/spreadsheetml/2006/main" count="85" uniqueCount="38">
  <si>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</si>
  <si>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</si>
  <si>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</si>
  <si>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</si>
  <si>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</si>
  <si>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</si>
  <si>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</si>
  <si>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</si>
  <si>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</si>
  <si>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</si>
  <si>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</si>
  <si>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</si>
  <si>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</si>
  <si>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</si>
  <si>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</si>
  <si>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</si>
  <si>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</si>
  <si>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STATISTICAL FUNCTIONS</t>
  </si>
  <si>
    <t>COUNT</t>
  </si>
  <si>
    <t>Column1</t>
  </si>
  <si>
    <t>Column2</t>
  </si>
  <si>
    <t>SNO</t>
  </si>
  <si>
    <t>COUNTA</t>
  </si>
  <si>
    <t>COUNTBLANK</t>
  </si>
  <si>
    <t>COUNTIF</t>
  </si>
  <si>
    <t>COUNTIFS</t>
  </si>
  <si>
    <t>MEAN</t>
  </si>
  <si>
    <t>MEDIAN</t>
  </si>
  <si>
    <t>MODE</t>
  </si>
  <si>
    <t>STDEV</t>
  </si>
  <si>
    <t>STDEV.S</t>
  </si>
  <si>
    <t>CORREL</t>
  </si>
  <si>
    <t>VARIANCE</t>
  </si>
  <si>
    <t>VARIANCE.S</t>
  </si>
  <si>
    <t>LEVEL</t>
  </si>
  <si>
    <t>CATEGORICAL</t>
  </si>
  <si>
    <t>BEGINNER</t>
  </si>
  <si>
    <t>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</si>
</sst>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8" fillId="4" borderId="14" xfId="8" applyBorder="1"/>
    <xf numFmtId="0" fontId="8" fillId="4" borderId="10" xfId="8" applyBorder="1"/>
    <xf numFmtId="0" fontId="8" fillId="4" borderId="15" xfId="8" applyBorder="1"/>
    <xf numFmtId="0" fontId="7" fillId="3" borderId="14" xfId="7" applyBorder="1"/>
    <xf numFmtId="0" fontId="7" fillId="3" borderId="10" xfId="7" applyBorder="1"/>
    <xf numFmtId="0" fontId="7" fillId="3" borderId="15" xfId="7" applyBorder="1"/>
    <xf numFmtId="0" fontId="8" fillId="4" borderId="16" xfId="8" applyBorder="1"/>
    <xf numFmtId="0" fontId="8" fillId="4" borderId="17" xfId="8" applyBorder="1"/>
    <xf numFmtId="0" fontId="8" fillId="4" borderId="18" xfId="8" applyBorder="1"/>
    <xf numFmtId="0" fontId="0" fillId="0" borderId="18" xfId="0" applyBorder="1"/>
    <xf numFmtId="0" fontId="0" fillId="0" borderId="16" xfId="0" applyBorder="1"/>
    <xf numFmtId="0" fontId="11" fillId="6" borderId="4" xfId="1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8ECFA-0A23-4901-9A0F-0FBC221C2ACC}" name="Table1" displayName="Table1" ref="B4:N28" totalsRowShown="0" headerRowDxfId="12" headerRowBorderDxfId="27" tableBorderDxfId="28" totalsRowBorderDxfId="26">
  <autoFilter ref="B4:N28" xr:uid="{6EC8ECFA-0A23-4901-9A0F-0FBC221C2ACC}"/>
  <tableColumns count="13">
    <tableColumn id="18" xr3:uid="{127FA4E4-70B3-4233-A999-93914ECD649D}" name="SNO" dataDxfId="25"/>
    <tableColumn id="1" xr3:uid="{0A0F49BB-B1CC-490B-9D13-4067EB85FEF9}" name="customer_id" dataDxfId="24"/>
    <tableColumn id="2" xr3:uid="{DD61F288-74FF-4634-8204-1065A7FCBFBC}" name="credit_score" dataDxfId="23"/>
    <tableColumn id="3" xr3:uid="{EAAF1EA7-E0F2-4BC5-84D7-0FF2C76F8BF1}" name="country" dataDxfId="22"/>
    <tableColumn id="4" xr3:uid="{D6C5CFCF-BE3E-400C-80B3-FB66A0E7A547}" name="gender" dataDxfId="21"/>
    <tableColumn id="5" xr3:uid="{C94F2516-B9E2-4646-9B40-04650B5BA0FE}" name="age" dataDxfId="20"/>
    <tableColumn id="6" xr3:uid="{563CE6D1-6E79-48AD-8F4A-0A44A7880357}" name="tenure" dataDxfId="19"/>
    <tableColumn id="7" xr3:uid="{12FBCFBD-98D6-424A-9C11-6456EB3E5A15}" name="balance" dataDxfId="18"/>
    <tableColumn id="8" xr3:uid="{E2F027C3-268A-4B06-B15A-18E821EB4D1A}" name="products_number" dataDxfId="17"/>
    <tableColumn id="9" xr3:uid="{3684E897-C7D8-4386-B92B-0200AB563207}" name="credit_card" dataDxfId="16"/>
    <tableColumn id="10" xr3:uid="{3588D10F-15CD-47EE-9AA3-5B41488854F1}" name="active_member" dataDxfId="15"/>
    <tableColumn id="11" xr3:uid="{F6A52119-4429-4CD1-992B-5CED55071636}" name="estimated_salary" dataDxfId="14"/>
    <tableColumn id="12" xr3:uid="{FCF73027-B1B6-4962-BBF9-B730CACF46A7}" name="churn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C6043-276F-4F5C-B8E4-2DC5C7286C56}" name="Table3" displayName="Table3" ref="Q11:R20" totalsRowShown="0" headerRowDxfId="7" headerRowBorderDxfId="10" tableBorderDxfId="11" totalsRowBorderDxfId="9">
  <autoFilter ref="Q11:R20" xr:uid="{A3BC6043-276F-4F5C-B8E4-2DC5C7286C56}"/>
  <tableColumns count="2">
    <tableColumn id="1" xr3:uid="{4C4E0D76-3A6C-46C6-8347-20299C4C2AE5}" name="Column1" dataDxfId="8"/>
    <tableColumn id="2" xr3:uid="{32558020-49BC-4392-ABB4-BEA5E1517DB4}" name="Column2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DFCA0C-783D-4187-9E88-F0673AE07535}" name="Table4" displayName="Table4" ref="U8:V23" totalsRowShown="0" headerRowDxfId="2" headerRowBorderDxfId="5" tableBorderDxfId="6" totalsRowBorderDxfId="4">
  <autoFilter ref="U8:V23" xr:uid="{CBDFCA0C-783D-4187-9E88-F0673AE07535}"/>
  <tableColumns count="2">
    <tableColumn id="1" xr3:uid="{3B2AC2AC-A32C-420A-AEFA-79223134FA2F}" name="Column1" dataDxfId="3"/>
    <tableColumn id="2" xr3:uid="{FC160988-DE1C-48AA-9D31-12A8495C5D10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11FB-56E4-46EA-8204-C590DD7A7E0E}">
  <dimension ref="B2:Y28"/>
  <sheetViews>
    <sheetView tabSelected="1" workbookViewId="0">
      <selection activeCell="R4" sqref="R4"/>
    </sheetView>
  </sheetViews>
  <sheetFormatPr defaultRowHeight="15" x14ac:dyDescent="0.25"/>
  <cols>
    <col min="1" max="1" width="11.5703125" customWidth="1"/>
    <col min="17" max="17" width="12.7109375" customWidth="1"/>
    <col min="18" max="18" width="11" bestFit="1" customWidth="1"/>
    <col min="21" max="22" width="11" customWidth="1"/>
    <col min="24" max="24" width="13.85546875" customWidth="1"/>
  </cols>
  <sheetData>
    <row r="2" spans="2:25" ht="15.75" x14ac:dyDescent="0.25">
      <c r="F2" s="1" t="s">
        <v>17</v>
      </c>
    </row>
    <row r="4" spans="2:25" x14ac:dyDescent="0.25">
      <c r="B4" s="2" t="s">
        <v>21</v>
      </c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4" t="s">
        <v>11</v>
      </c>
      <c r="X4" s="6" t="s">
        <v>35</v>
      </c>
      <c r="Y4" s="6" t="s">
        <v>34</v>
      </c>
    </row>
    <row r="5" spans="2:25" x14ac:dyDescent="0.25">
      <c r="B5" s="5">
        <v>1</v>
      </c>
      <c r="C5" s="6">
        <v>15634602</v>
      </c>
      <c r="D5" s="6">
        <v>619</v>
      </c>
      <c r="E5" s="6" t="s">
        <v>12</v>
      </c>
      <c r="F5" s="6" t="s">
        <v>13</v>
      </c>
      <c r="G5" s="6">
        <v>42</v>
      </c>
      <c r="H5" s="6">
        <v>2</v>
      </c>
      <c r="I5" s="6">
        <v>0</v>
      </c>
      <c r="J5" s="6">
        <v>1</v>
      </c>
      <c r="K5" s="6">
        <v>1</v>
      </c>
      <c r="L5" s="6">
        <v>1</v>
      </c>
      <c r="M5" s="6">
        <v>101348.88</v>
      </c>
      <c r="N5" s="7">
        <v>1</v>
      </c>
      <c r="X5" s="6" t="s">
        <v>36</v>
      </c>
      <c r="Y5" s="6">
        <v>0</v>
      </c>
    </row>
    <row r="6" spans="2:25" x14ac:dyDescent="0.25">
      <c r="B6" s="5">
        <v>2</v>
      </c>
      <c r="C6" s="6">
        <v>15647311</v>
      </c>
      <c r="D6" s="6">
        <v>608</v>
      </c>
      <c r="E6" s="6" t="s">
        <v>14</v>
      </c>
      <c r="F6" s="6" t="s">
        <v>13</v>
      </c>
      <c r="G6" s="6">
        <v>41</v>
      </c>
      <c r="H6" s="6">
        <v>1</v>
      </c>
      <c r="I6" s="6">
        <v>83807.86</v>
      </c>
      <c r="J6" s="6">
        <v>1</v>
      </c>
      <c r="K6" s="6">
        <v>0</v>
      </c>
      <c r="L6" s="6">
        <v>1</v>
      </c>
      <c r="M6" s="6">
        <v>112542.58</v>
      </c>
      <c r="N6" s="7">
        <v>0</v>
      </c>
      <c r="X6" s="6" t="s">
        <v>37</v>
      </c>
      <c r="Y6" s="6">
        <v>1</v>
      </c>
    </row>
    <row r="7" spans="2:25" x14ac:dyDescent="0.25">
      <c r="B7" s="5">
        <v>3</v>
      </c>
      <c r="C7" s="6">
        <v>15619304</v>
      </c>
      <c r="D7" s="6">
        <v>502</v>
      </c>
      <c r="E7" s="6" t="s">
        <v>12</v>
      </c>
      <c r="F7" s="6" t="s">
        <v>13</v>
      </c>
      <c r="G7" s="6">
        <v>24</v>
      </c>
      <c r="H7" s="6">
        <v>8</v>
      </c>
      <c r="I7" s="6">
        <v>159660.79999999999</v>
      </c>
      <c r="J7" s="6">
        <v>3</v>
      </c>
      <c r="K7" s="6">
        <v>1</v>
      </c>
      <c r="L7" s="6">
        <v>0</v>
      </c>
      <c r="M7" s="6">
        <v>113931.57</v>
      </c>
      <c r="N7" s="7">
        <v>1</v>
      </c>
      <c r="X7" s="6" t="s">
        <v>36</v>
      </c>
      <c r="Y7" s="6">
        <v>0</v>
      </c>
    </row>
    <row r="8" spans="2:25" x14ac:dyDescent="0.25">
      <c r="B8" s="5">
        <v>4</v>
      </c>
      <c r="C8" s="6">
        <v>15701354</v>
      </c>
      <c r="D8" s="6">
        <v>699</v>
      </c>
      <c r="E8" s="6" t="s">
        <v>12</v>
      </c>
      <c r="F8" s="6" t="s">
        <v>13</v>
      </c>
      <c r="G8" s="6">
        <v>39</v>
      </c>
      <c r="H8" s="6">
        <v>1</v>
      </c>
      <c r="I8" s="6">
        <v>0</v>
      </c>
      <c r="J8" s="6">
        <v>2</v>
      </c>
      <c r="K8" s="6">
        <v>0</v>
      </c>
      <c r="L8" s="6">
        <v>0</v>
      </c>
      <c r="M8" s="6">
        <v>93826.63</v>
      </c>
      <c r="N8" s="7">
        <v>0</v>
      </c>
      <c r="U8" s="2" t="s">
        <v>19</v>
      </c>
      <c r="V8" s="4" t="s">
        <v>20</v>
      </c>
      <c r="X8" s="6" t="s">
        <v>36</v>
      </c>
      <c r="Y8" s="6">
        <v>0</v>
      </c>
    </row>
    <row r="9" spans="2:25" x14ac:dyDescent="0.25">
      <c r="B9" s="5">
        <v>5</v>
      </c>
      <c r="C9" s="6">
        <v>15737888</v>
      </c>
      <c r="D9" s="6">
        <v>850</v>
      </c>
      <c r="E9" s="6" t="s">
        <v>14</v>
      </c>
      <c r="F9" s="6" t="s">
        <v>13</v>
      </c>
      <c r="G9" s="6">
        <v>43</v>
      </c>
      <c r="H9" s="6">
        <v>2</v>
      </c>
      <c r="I9" s="6">
        <v>125510.82</v>
      </c>
      <c r="J9" s="6">
        <v>1</v>
      </c>
      <c r="K9" s="6">
        <v>1</v>
      </c>
      <c r="L9" s="6">
        <v>1</v>
      </c>
      <c r="M9" s="6">
        <v>79084.100000000006</v>
      </c>
      <c r="N9" s="7">
        <v>0</v>
      </c>
      <c r="U9" s="5" t="s">
        <v>26</v>
      </c>
      <c r="V9" s="19">
        <f>AVERAGE(Table1[age])</f>
        <v>37.4</v>
      </c>
      <c r="X9" s="6" t="s">
        <v>37</v>
      </c>
      <c r="Y9" s="6">
        <v>1</v>
      </c>
    </row>
    <row r="10" spans="2:25" x14ac:dyDescent="0.25">
      <c r="B10" s="5">
        <v>6</v>
      </c>
      <c r="C10" s="6">
        <v>15574012</v>
      </c>
      <c r="D10" s="6">
        <v>645</v>
      </c>
      <c r="E10" s="6" t="s">
        <v>14</v>
      </c>
      <c r="F10" s="6" t="s">
        <v>15</v>
      </c>
      <c r="G10" s="6">
        <v>44</v>
      </c>
      <c r="H10" s="6">
        <v>8</v>
      </c>
      <c r="I10" s="6">
        <v>113755.78</v>
      </c>
      <c r="J10" s="6">
        <v>2</v>
      </c>
      <c r="K10" s="6">
        <v>1</v>
      </c>
      <c r="L10" s="6">
        <v>0</v>
      </c>
      <c r="M10" s="6">
        <v>149756.71</v>
      </c>
      <c r="N10" s="7">
        <v>1</v>
      </c>
      <c r="U10" s="5"/>
      <c r="V10" s="7"/>
      <c r="X10" s="6" t="s">
        <v>36</v>
      </c>
      <c r="Y10" s="6">
        <v>0</v>
      </c>
    </row>
    <row r="11" spans="2:25" x14ac:dyDescent="0.25">
      <c r="B11" s="5">
        <v>7</v>
      </c>
      <c r="C11" s="6">
        <v>15592531</v>
      </c>
      <c r="D11" s="6">
        <v>822</v>
      </c>
      <c r="E11" s="6" t="s">
        <v>12</v>
      </c>
      <c r="F11" s="6" t="s">
        <v>15</v>
      </c>
      <c r="G11" s="6">
        <v>50</v>
      </c>
      <c r="H11" s="6">
        <v>7</v>
      </c>
      <c r="I11" s="6">
        <v>0</v>
      </c>
      <c r="J11" s="6">
        <v>2</v>
      </c>
      <c r="K11" s="6">
        <v>1</v>
      </c>
      <c r="L11" s="6">
        <v>1</v>
      </c>
      <c r="M11" s="6">
        <v>10062.799999999999</v>
      </c>
      <c r="N11" s="7">
        <v>0</v>
      </c>
      <c r="Q11" s="2" t="s">
        <v>19</v>
      </c>
      <c r="R11" s="4" t="s">
        <v>20</v>
      </c>
      <c r="U11" s="5" t="s">
        <v>27</v>
      </c>
      <c r="V11" s="19">
        <f>MEDIAN(Table1[age])</f>
        <v>40</v>
      </c>
      <c r="X11" s="6" t="s">
        <v>37</v>
      </c>
      <c r="Y11" s="6">
        <v>1</v>
      </c>
    </row>
    <row r="12" spans="2:25" x14ac:dyDescent="0.25">
      <c r="B12" s="5">
        <v>8</v>
      </c>
      <c r="C12" s="6">
        <v>15656148</v>
      </c>
      <c r="D12" s="6">
        <v>376</v>
      </c>
      <c r="E12" s="6" t="s">
        <v>16</v>
      </c>
      <c r="F12" s="6" t="s">
        <v>13</v>
      </c>
      <c r="G12" s="6">
        <v>29</v>
      </c>
      <c r="H12" s="6">
        <v>4</v>
      </c>
      <c r="I12" s="6">
        <v>115046.74</v>
      </c>
      <c r="J12" s="6">
        <v>4</v>
      </c>
      <c r="K12" s="6">
        <v>1</v>
      </c>
      <c r="L12" s="6">
        <v>0</v>
      </c>
      <c r="M12" s="6">
        <v>119346.88</v>
      </c>
      <c r="N12" s="7">
        <v>1</v>
      </c>
      <c r="Q12" s="5" t="s">
        <v>18</v>
      </c>
      <c r="R12" s="19">
        <f>COUNT(B:B)</f>
        <v>22</v>
      </c>
      <c r="U12" s="5"/>
      <c r="V12" s="7"/>
      <c r="X12" s="6" t="s">
        <v>37</v>
      </c>
      <c r="Y12" s="6">
        <v>1</v>
      </c>
    </row>
    <row r="13" spans="2:25" x14ac:dyDescent="0.25">
      <c r="B13" s="5">
        <v>9</v>
      </c>
      <c r="C13" s="6">
        <v>15792365</v>
      </c>
      <c r="D13" s="6">
        <v>501</v>
      </c>
      <c r="E13" s="6" t="s">
        <v>12</v>
      </c>
      <c r="F13" s="6" t="s">
        <v>15</v>
      </c>
      <c r="G13" s="6">
        <v>44</v>
      </c>
      <c r="H13" s="6">
        <v>4</v>
      </c>
      <c r="I13" s="6">
        <v>142051.07</v>
      </c>
      <c r="J13" s="6">
        <v>2</v>
      </c>
      <c r="K13" s="6">
        <v>0</v>
      </c>
      <c r="L13" s="6">
        <v>1</v>
      </c>
      <c r="M13" s="6">
        <v>74940.5</v>
      </c>
      <c r="N13" s="7">
        <v>0</v>
      </c>
      <c r="Q13" s="5"/>
      <c r="R13" s="7"/>
      <c r="U13" s="5" t="s">
        <v>28</v>
      </c>
      <c r="V13" s="19">
        <f>MODE(Table1[age])</f>
        <v>24</v>
      </c>
      <c r="X13" s="6" t="s">
        <v>37</v>
      </c>
      <c r="Y13" s="6">
        <v>1</v>
      </c>
    </row>
    <row r="14" spans="2:25" x14ac:dyDescent="0.25">
      <c r="B14" s="5">
        <v>10</v>
      </c>
      <c r="C14" s="6">
        <v>15592389</v>
      </c>
      <c r="D14" s="6">
        <v>684</v>
      </c>
      <c r="E14" s="6" t="s">
        <v>12</v>
      </c>
      <c r="F14" s="6" t="s">
        <v>15</v>
      </c>
      <c r="G14" s="6">
        <v>27</v>
      </c>
      <c r="H14" s="6">
        <v>2</v>
      </c>
      <c r="I14" s="6">
        <v>134603.88</v>
      </c>
      <c r="J14" s="6">
        <v>1</v>
      </c>
      <c r="K14" s="6">
        <v>1</v>
      </c>
      <c r="L14" s="6">
        <v>1</v>
      </c>
      <c r="M14" s="6">
        <v>71725.73</v>
      </c>
      <c r="N14" s="7">
        <v>0</v>
      </c>
      <c r="Q14" s="5" t="s">
        <v>22</v>
      </c>
      <c r="R14" s="19">
        <f>COUNTA(B:B)</f>
        <v>23</v>
      </c>
      <c r="U14" s="5"/>
      <c r="V14" s="7"/>
      <c r="X14" s="6" t="s">
        <v>36</v>
      </c>
      <c r="Y14" s="6">
        <v>0</v>
      </c>
    </row>
    <row r="15" spans="2:25" x14ac:dyDescent="0.25">
      <c r="B15" s="5">
        <v>11</v>
      </c>
      <c r="C15" s="6">
        <v>15767821</v>
      </c>
      <c r="D15" s="6">
        <v>528</v>
      </c>
      <c r="E15" s="6" t="s">
        <v>12</v>
      </c>
      <c r="F15" s="6" t="s">
        <v>15</v>
      </c>
      <c r="G15" s="6">
        <v>31</v>
      </c>
      <c r="H15" s="6">
        <v>6</v>
      </c>
      <c r="I15" s="6">
        <v>102016.72</v>
      </c>
      <c r="J15" s="6">
        <v>2</v>
      </c>
      <c r="K15" s="6">
        <v>0</v>
      </c>
      <c r="L15" s="6">
        <v>0</v>
      </c>
      <c r="M15" s="6">
        <v>80181.119999999995</v>
      </c>
      <c r="N15" s="7">
        <v>0</v>
      </c>
      <c r="Q15" s="5"/>
      <c r="R15" s="7"/>
      <c r="U15" s="5" t="s">
        <v>29</v>
      </c>
      <c r="V15" s="19">
        <f>STDEV(Table1[balance])</f>
        <v>66022.171032270082</v>
      </c>
      <c r="X15" s="6" t="s">
        <v>36</v>
      </c>
      <c r="Y15" s="6">
        <v>0</v>
      </c>
    </row>
    <row r="16" spans="2:25" x14ac:dyDescent="0.25">
      <c r="B16" s="5">
        <v>12</v>
      </c>
      <c r="C16" s="6">
        <v>15737173</v>
      </c>
      <c r="D16" s="6">
        <v>497</v>
      </c>
      <c r="E16" s="6" t="s">
        <v>14</v>
      </c>
      <c r="F16" s="6" t="s">
        <v>15</v>
      </c>
      <c r="G16" s="6">
        <v>24</v>
      </c>
      <c r="H16" s="6">
        <v>3</v>
      </c>
      <c r="I16" s="6">
        <v>0</v>
      </c>
      <c r="J16" s="6">
        <v>2</v>
      </c>
      <c r="K16" s="6">
        <v>1</v>
      </c>
      <c r="L16" s="6">
        <v>0</v>
      </c>
      <c r="M16" s="6">
        <v>76390.009999999995</v>
      </c>
      <c r="N16" s="7">
        <v>0</v>
      </c>
      <c r="Q16" s="5" t="s">
        <v>23</v>
      </c>
      <c r="R16" s="19">
        <f>COUNTBLANK(B5:B27)</f>
        <v>2</v>
      </c>
      <c r="U16" s="5"/>
      <c r="V16" s="7"/>
    </row>
    <row r="17" spans="2:25" x14ac:dyDescent="0.25">
      <c r="B17" s="5">
        <v>13</v>
      </c>
      <c r="C17" s="6">
        <v>15632264</v>
      </c>
      <c r="D17" s="6">
        <v>476</v>
      </c>
      <c r="E17" s="6" t="s">
        <v>12</v>
      </c>
      <c r="F17" s="6" t="s">
        <v>13</v>
      </c>
      <c r="G17" s="6">
        <v>34</v>
      </c>
      <c r="H17" s="6">
        <v>10</v>
      </c>
      <c r="I17" s="6">
        <v>0</v>
      </c>
      <c r="J17" s="6">
        <v>2</v>
      </c>
      <c r="K17" s="6">
        <v>1</v>
      </c>
      <c r="L17" s="6">
        <v>0</v>
      </c>
      <c r="M17" s="6">
        <v>26260.98</v>
      </c>
      <c r="N17" s="7">
        <v>0</v>
      </c>
      <c r="Q17" s="5"/>
      <c r="R17" s="7"/>
      <c r="U17" s="5" t="s">
        <v>30</v>
      </c>
      <c r="V17" s="19">
        <f>_xlfn.STDEV.S(Table1[balance])</f>
        <v>66022.171032270082</v>
      </c>
      <c r="X17" t="s">
        <v>28</v>
      </c>
      <c r="Y17">
        <f>MODE(Y5:Y15)</f>
        <v>0</v>
      </c>
    </row>
    <row r="18" spans="2:25" x14ac:dyDescent="0.25">
      <c r="B18" s="5">
        <v>14</v>
      </c>
      <c r="C18" s="6">
        <v>15691483</v>
      </c>
      <c r="D18" s="6">
        <v>549</v>
      </c>
      <c r="E18" s="6" t="s">
        <v>12</v>
      </c>
      <c r="F18" s="6" t="s">
        <v>13</v>
      </c>
      <c r="G18" s="6">
        <v>45</v>
      </c>
      <c r="H18" s="6">
        <v>5</v>
      </c>
      <c r="I18" s="6">
        <v>0</v>
      </c>
      <c r="J18" s="6">
        <v>2</v>
      </c>
      <c r="K18" s="6">
        <v>0</v>
      </c>
      <c r="L18" s="6">
        <v>0</v>
      </c>
      <c r="M18" s="6">
        <v>190857.79</v>
      </c>
      <c r="N18" s="7">
        <v>0</v>
      </c>
      <c r="Q18" s="5" t="s">
        <v>24</v>
      </c>
      <c r="R18" s="19">
        <f>COUNTIF(Table1[age],"&gt;=40")</f>
        <v>10</v>
      </c>
      <c r="U18" s="5"/>
      <c r="V18" s="7"/>
    </row>
    <row r="19" spans="2:25" x14ac:dyDescent="0.25">
      <c r="B19" s="5">
        <v>15</v>
      </c>
      <c r="C19" s="6">
        <v>15600882</v>
      </c>
      <c r="D19" s="6">
        <v>635</v>
      </c>
      <c r="E19" s="6" t="s">
        <v>14</v>
      </c>
      <c r="F19" s="6" t="s">
        <v>13</v>
      </c>
      <c r="G19" s="6">
        <v>35</v>
      </c>
      <c r="H19" s="6">
        <v>7</v>
      </c>
      <c r="I19" s="6">
        <v>0</v>
      </c>
      <c r="J19" s="6">
        <v>2</v>
      </c>
      <c r="K19" s="6">
        <v>1</v>
      </c>
      <c r="L19" s="6">
        <v>1</v>
      </c>
      <c r="M19" s="6">
        <v>65951.649999999994</v>
      </c>
      <c r="N19" s="7">
        <v>0</v>
      </c>
      <c r="Q19" s="5"/>
      <c r="R19" s="7"/>
      <c r="U19" s="5" t="s">
        <v>31</v>
      </c>
      <c r="V19" s="19">
        <f>CORREL(Table1[balance],Table1[estimated_salary])</f>
        <v>4.0797520847827465E-2</v>
      </c>
    </row>
    <row r="20" spans="2:25" x14ac:dyDescent="0.25">
      <c r="B20" s="8">
        <v>16</v>
      </c>
      <c r="C20" s="9">
        <v>15643966</v>
      </c>
      <c r="D20" s="9">
        <v>616</v>
      </c>
      <c r="E20" s="9" t="s">
        <v>16</v>
      </c>
      <c r="F20" s="9" t="s">
        <v>15</v>
      </c>
      <c r="G20" s="9">
        <v>45</v>
      </c>
      <c r="H20" s="9">
        <v>3</v>
      </c>
      <c r="I20" s="9">
        <v>143129.41</v>
      </c>
      <c r="J20" s="9">
        <v>2</v>
      </c>
      <c r="K20" s="9">
        <v>0</v>
      </c>
      <c r="L20" s="9">
        <v>1</v>
      </c>
      <c r="M20" s="9">
        <v>64327.26</v>
      </c>
      <c r="N20" s="10">
        <v>0</v>
      </c>
      <c r="Q20" s="18" t="s">
        <v>25</v>
      </c>
      <c r="R20" s="19">
        <f>COUNTIFS(Table1[SNO],"&gt;15",Table1[gender],"MALE")</f>
        <v>3</v>
      </c>
      <c r="U20" s="5"/>
      <c r="V20" s="7"/>
    </row>
    <row r="21" spans="2:25" x14ac:dyDescent="0.25">
      <c r="B21" s="11">
        <v>17</v>
      </c>
      <c r="C21" s="12">
        <v>15737452</v>
      </c>
      <c r="D21" s="12">
        <v>653</v>
      </c>
      <c r="E21" s="12" t="s">
        <v>16</v>
      </c>
      <c r="F21" s="12" t="s">
        <v>15</v>
      </c>
      <c r="G21" s="12">
        <v>58</v>
      </c>
      <c r="H21" s="12">
        <v>1</v>
      </c>
      <c r="I21" s="12">
        <v>132602.88</v>
      </c>
      <c r="J21" s="12">
        <v>1</v>
      </c>
      <c r="K21" s="12">
        <v>1</v>
      </c>
      <c r="L21" s="12">
        <v>0</v>
      </c>
      <c r="M21" s="12">
        <v>5097.67</v>
      </c>
      <c r="N21" s="13">
        <v>1</v>
      </c>
      <c r="U21" s="5" t="s">
        <v>32</v>
      </c>
      <c r="V21" s="19">
        <f>VAR(Table1[estimated_salary])</f>
        <v>2443829807.8799195</v>
      </c>
    </row>
    <row r="22" spans="2:25" x14ac:dyDescent="0.25">
      <c r="B22" s="8">
        <v>18</v>
      </c>
      <c r="C22" s="9">
        <v>15788218</v>
      </c>
      <c r="D22" s="9">
        <v>549</v>
      </c>
      <c r="E22" s="9" t="s">
        <v>14</v>
      </c>
      <c r="F22" s="9" t="s">
        <v>13</v>
      </c>
      <c r="G22" s="9">
        <v>24</v>
      </c>
      <c r="H22" s="9">
        <v>9</v>
      </c>
      <c r="I22" s="9">
        <v>0</v>
      </c>
      <c r="J22" s="9">
        <v>2</v>
      </c>
      <c r="K22" s="9">
        <v>1</v>
      </c>
      <c r="L22" s="9">
        <v>1</v>
      </c>
      <c r="M22" s="9">
        <v>14406.41</v>
      </c>
      <c r="N22" s="10">
        <v>0</v>
      </c>
      <c r="U22" s="5"/>
      <c r="V22" s="7"/>
    </row>
    <row r="23" spans="2:25" x14ac:dyDescent="0.25">
      <c r="B23" s="11">
        <v>19</v>
      </c>
      <c r="C23" s="12">
        <v>15661507</v>
      </c>
      <c r="D23" s="12">
        <v>587</v>
      </c>
      <c r="E23" s="12" t="s">
        <v>14</v>
      </c>
      <c r="F23" s="12" t="s">
        <v>15</v>
      </c>
      <c r="G23" s="12">
        <v>45</v>
      </c>
      <c r="H23" s="12">
        <v>6</v>
      </c>
      <c r="I23" s="12">
        <v>0</v>
      </c>
      <c r="J23" s="12">
        <v>1</v>
      </c>
      <c r="K23" s="12">
        <v>0</v>
      </c>
      <c r="L23" s="12">
        <v>0</v>
      </c>
      <c r="M23" s="12">
        <v>158684.81</v>
      </c>
      <c r="N23" s="13">
        <v>0</v>
      </c>
      <c r="U23" s="18" t="s">
        <v>33</v>
      </c>
      <c r="V23" s="19">
        <f>_xlfn.VAR.S(Table1[estimated_salary])</f>
        <v>2443829807.8799195</v>
      </c>
    </row>
    <row r="24" spans="2:25" x14ac:dyDescent="0.25">
      <c r="B24" s="14">
        <v>20</v>
      </c>
      <c r="C24" s="15">
        <v>15568982</v>
      </c>
      <c r="D24" s="15">
        <v>726</v>
      </c>
      <c r="E24" s="15" t="s">
        <v>12</v>
      </c>
      <c r="F24" s="15" t="s">
        <v>13</v>
      </c>
      <c r="G24" s="15">
        <v>24</v>
      </c>
      <c r="H24" s="15">
        <v>6</v>
      </c>
      <c r="I24" s="15">
        <v>0</v>
      </c>
      <c r="J24" s="15">
        <v>2</v>
      </c>
      <c r="K24" s="15">
        <v>1</v>
      </c>
      <c r="L24" s="15">
        <v>1</v>
      </c>
      <c r="M24" s="15">
        <v>54724.03</v>
      </c>
      <c r="N24" s="16">
        <v>0</v>
      </c>
    </row>
    <row r="25" spans="2:25" x14ac:dyDescent="0.2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spans="2:25" x14ac:dyDescent="0.2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</row>
    <row r="27" spans="2:25" x14ac:dyDescent="0.25">
      <c r="B27" s="5">
        <v>23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</row>
    <row r="28" spans="2:25" x14ac:dyDescent="0.25">
      <c r="B28" s="18">
        <v>24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17"/>
    </row>
  </sheetData>
  <phoneticPr fontId="19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2026-06-02T09:16:35Z</dcterms:created>
  <dcterms:modified xsi:type="dcterms:W3CDTF">2026-06-02T10:41:54Z</dcterms:modified>
</cp:coreProperties>
</file>