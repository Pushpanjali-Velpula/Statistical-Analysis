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New folder\"/>
    </mc:Choice>
  </mc:AlternateContent>
  <xr:revisionPtr revIDLastSave="0" documentId="8_{89F4EB25-1CF2-4D9D-B82D-702B49E2426B}" xr6:coauthVersionLast="47" xr6:coauthVersionMax="47" xr10:uidLastSave="{00000000-0000-0000-0000-000000000000}"/>
  <bookViews>
    <workbookView xWindow="-120" yWindow="-120" windowWidth="29040" windowHeight="15720" xr2:uid="{CEFBC2D7-6890-47E3-B298-03E6C29F7B44}"/>
  </bookViews>
  <sheets>
    <sheet name="Sheet2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9" i="1" l="1"/>
  <c r="AD10" i="1"/>
  <c r="AD11" i="1"/>
  <c r="AD12" i="1"/>
  <c r="AD13" i="1"/>
  <c r="AD14" i="1"/>
  <c r="AD8" i="1"/>
  <c r="AC9" i="1"/>
  <c r="AC10" i="1"/>
  <c r="AC11" i="1"/>
  <c r="AC12" i="1"/>
  <c r="AC13" i="1"/>
  <c r="AC14" i="1"/>
  <c r="AC8" i="1"/>
  <c r="T9" i="2"/>
  <c r="T10" i="2"/>
  <c r="T11" i="2"/>
  <c r="T12" i="2"/>
  <c r="T13" i="2"/>
  <c r="T14" i="2"/>
  <c r="T8" i="2"/>
  <c r="S9" i="2"/>
  <c r="S10" i="2"/>
  <c r="S11" i="2"/>
  <c r="S12" i="2"/>
  <c r="S13" i="2"/>
  <c r="S14" i="2"/>
  <c r="S8" i="2"/>
  <c r="M3" i="1"/>
  <c r="M4" i="1"/>
  <c r="M5" i="1"/>
  <c r="M6" i="1"/>
  <c r="M2" i="1"/>
  <c r="L3" i="1"/>
  <c r="L4" i="1"/>
  <c r="L5" i="1"/>
  <c r="L6" i="1"/>
  <c r="L2" i="1"/>
</calcChain>
</file>

<file path=xl/sharedStrings.xml><?xml version="1.0" encoding="utf-8"?>
<sst xmlns="http://schemas.openxmlformats.org/spreadsheetml/2006/main" count="758" uniqueCount="57">
  <si>
    <t>Date</t>
  </si>
  <si>
    <t>V-Type</t>
  </si>
  <si>
    <t>Vouche.No</t>
  </si>
  <si>
    <t>Sales</t>
  </si>
  <si>
    <t>LMp1209</t>
  </si>
  <si>
    <t>LMp1210</t>
  </si>
  <si>
    <t>LMp1211</t>
  </si>
  <si>
    <t>LMp1212</t>
  </si>
  <si>
    <t>LMp1213</t>
  </si>
  <si>
    <t>LMp1214</t>
  </si>
  <si>
    <t>LMp1215</t>
  </si>
  <si>
    <t>LMp1216</t>
  </si>
  <si>
    <t>LMp1217</t>
  </si>
  <si>
    <t>LMp1218</t>
  </si>
  <si>
    <t>LMp1219</t>
  </si>
  <si>
    <t>LMp1220</t>
  </si>
  <si>
    <t>LMp1221</t>
  </si>
  <si>
    <t>LMp1222</t>
  </si>
  <si>
    <t>LMp1223</t>
  </si>
  <si>
    <t>LMp1224</t>
  </si>
  <si>
    <t>LMp1225</t>
  </si>
  <si>
    <t>LMp1226</t>
  </si>
  <si>
    <t>LMp1227</t>
  </si>
  <si>
    <t>LMp1228</t>
  </si>
  <si>
    <t>LMp1229</t>
  </si>
  <si>
    <t>LMp1230</t>
  </si>
  <si>
    <t>LMp1231</t>
  </si>
  <si>
    <t>LMp1232</t>
  </si>
  <si>
    <t>LMp1233</t>
  </si>
  <si>
    <t>LMp1234</t>
  </si>
  <si>
    <t>LMp1235</t>
  </si>
  <si>
    <t>LMp1236</t>
  </si>
  <si>
    <t>LMp1237</t>
  </si>
  <si>
    <t>LMp1238</t>
  </si>
  <si>
    <t>LMp1239</t>
  </si>
  <si>
    <t>LMp1240</t>
  </si>
  <si>
    <t>LMp1241</t>
  </si>
  <si>
    <t>LMp1242</t>
  </si>
  <si>
    <t>LMp1243</t>
  </si>
  <si>
    <t>State</t>
  </si>
  <si>
    <t>AP</t>
  </si>
  <si>
    <t>MP</t>
  </si>
  <si>
    <t>Delhi</t>
  </si>
  <si>
    <t>TS</t>
  </si>
  <si>
    <t>Karnataka</t>
  </si>
  <si>
    <t>Kerala</t>
  </si>
  <si>
    <t>Tamil Nadu</t>
  </si>
  <si>
    <t>Course</t>
  </si>
  <si>
    <t>DS</t>
  </si>
  <si>
    <t>DA</t>
  </si>
  <si>
    <t>AI</t>
  </si>
  <si>
    <t>ML</t>
  </si>
  <si>
    <t>Python</t>
  </si>
  <si>
    <t>Ms Office</t>
  </si>
  <si>
    <t>Excel</t>
  </si>
  <si>
    <t>Quantity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</si>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</sst>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/>
    <xf numFmtId="14" fontId="0" fillId="0" borderId="1" xfId="0" applyNumberForma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19051</xdr:colOff>
      <xdr:row>4</xdr:row>
      <xdr:rowOff>38100</xdr:rowOff>
    </xdr:from>
    <xdr:to>
      <xdr:col>7</xdr:col>
      <xdr:colOff>398714</xdr:colOff>
      <xdr:row>4</xdr:row>
      <xdr:rowOff>361950</xdr:rowOff>
    </xdr:to>
    <xdr:sp macro="[0]!RELATIVE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FC4F1C9-BDAF-6E87-E34B-12FD9AFABDE6}"/>
            </a:ext>
          </a:extLst>
        </xdr:cNvPr>
        <xdr:cNvSpPr/>
      </xdr:nvSpPr>
      <xdr:spPr>
        <a:xfrm>
          <a:off x="5410201" y="847725"/>
          <a:ext cx="379663" cy="323850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GET</a:t>
          </a:r>
        </a:p>
      </xdr:txBody>
    </xdr:sp>
    <xdr:clientData/>
  </xdr:twoCellAnchor>
  <xdr:twoCellAnchor>
    <xdr:from>
      <xdr:col>7</xdr:col>
      <xdr:colOff>19050</xdr:colOff>
      <xdr:row>4</xdr:row>
      <xdr:rowOff>38100</xdr:rowOff>
    </xdr:from>
    <xdr:to>
      <xdr:col>7</xdr:col>
      <xdr:colOff>571500</xdr:colOff>
      <xdr:row>4</xdr:row>
      <xdr:rowOff>361950</xdr:rowOff>
    </xdr:to>
    <xdr:sp macro="[0]!RELATIVE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52A49B6-CB33-19E4-AD21-93F011DCD136}"/>
            </a:ext>
          </a:extLst>
        </xdr:cNvPr>
        <xdr:cNvSpPr/>
      </xdr:nvSpPr>
      <xdr:spPr>
        <a:xfrm>
          <a:off x="5410200" y="847725"/>
          <a:ext cx="552450" cy="323850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indent="0" algn="l"/>
          <a:r>
            <a:rPr lang="en-IN" sz="1100">
              <a:solidFill>
                <a:schemeClr val="lt1">
                  <a:lumMod val="100000"/>
                </a:schemeClr>
              </a:solidFill>
              <a:latin typeface="+mn-lt"/>
              <a:ea typeface="+mn-ea"/>
              <a:cs typeface="+mn-cs"/>
            </a:rPr>
            <a:t>GET</a:t>
          </a:r>
        </a:p>
      </xdr:txBody>
    </xdr:sp>
    <xdr:clientData/>
  </xdr:twoCellAnchor>
  <xdr:twoCellAnchor>
    <xdr:from>
      <xdr:col>7</xdr:col>
      <xdr:colOff>19050</xdr:colOff>
      <xdr:row>4</xdr:row>
      <xdr:rowOff>38100</xdr:rowOff>
    </xdr:from>
    <xdr:to>
      <xdr:col>7</xdr:col>
      <xdr:colOff>571500</xdr:colOff>
      <xdr:row>4</xdr:row>
      <xdr:rowOff>361950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E05CC9C-CAD9-C6DE-D154-E675755F1EB2}"/>
            </a:ext>
          </a:extLst>
        </xdr:cNvPr>
        <xdr:cNvSpPr/>
      </xdr:nvSpPr>
      <xdr:spPr>
        <a:xfrm>
          <a:off x="5410200" y="847725"/>
          <a:ext cx="552450" cy="323850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indent="0" algn="l"/>
          <a:r>
            <a:rPr lang="en-IN" sz="1100">
              <a:solidFill>
                <a:schemeClr val="lt1">
                  <a:lumMod val="100000"/>
                </a:schemeClr>
              </a:solidFill>
              <a:latin typeface="+mn-lt"/>
              <a:ea typeface="+mn-ea"/>
              <a:cs typeface="+mn-cs"/>
            </a:rPr>
            <a:t>GET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19051</xdr:colOff>
      <xdr:row>4</xdr:row>
      <xdr:rowOff>38100</xdr:rowOff>
    </xdr:from>
    <xdr:to>
      <xdr:col>7</xdr:col>
      <xdr:colOff>444274</xdr:colOff>
      <xdr:row>4</xdr:row>
      <xdr:rowOff>361950</xdr:rowOff>
    </xdr:to>
    <xdr:sp macro="[0]!RELATIVE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12CE27B-CD50-F932-C935-09B1A5BE61EF}"/>
            </a:ext>
          </a:extLst>
        </xdr:cNvPr>
        <xdr:cNvSpPr/>
      </xdr:nvSpPr>
      <xdr:spPr>
        <a:xfrm>
          <a:off x="5410201" y="847725"/>
          <a:ext cx="425223" cy="323850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indent="0" algn="l"/>
          <a:r>
            <a:rPr lang="en-IN" sz="1100">
              <a:solidFill>
                <a:schemeClr val="lt1">
                  <a:lumMod val="100000"/>
                </a:schemeClr>
              </a:solidFill>
              <a:latin typeface="+mn-lt"/>
              <a:ea typeface="+mn-ea"/>
              <a:cs typeface="+mn-cs"/>
            </a:rPr>
            <a:t>GET</a:t>
          </a:r>
        </a:p>
      </xdr:txBody>
    </xdr:sp>
    <xdr:clientData/>
  </xdr:twoCellAnchor>
  <xdr:twoCellAnchor>
    <xdr:from>
      <xdr:col>7</xdr:col>
      <xdr:colOff>19050</xdr:colOff>
      <xdr:row>4</xdr:row>
      <xdr:rowOff>38100</xdr:rowOff>
    </xdr:from>
    <xdr:to>
      <xdr:col>7</xdr:col>
      <xdr:colOff>571500</xdr:colOff>
      <xdr:row>4</xdr:row>
      <xdr:rowOff>361950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8C62A60-AC23-990A-4DF1-10E365B7CA52}"/>
            </a:ext>
          </a:extLst>
        </xdr:cNvPr>
        <xdr:cNvSpPr/>
      </xdr:nvSpPr>
      <xdr:spPr>
        <a:xfrm>
          <a:off x="5410200" y="847725"/>
          <a:ext cx="552450" cy="323850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indent="0" algn="l"/>
          <a:r>
            <a:rPr lang="en-IN" sz="1100">
              <a:solidFill>
                <a:schemeClr val="lt1">
                  <a:lumMod val="100000"/>
                </a:schemeClr>
              </a:solidFill>
              <a:latin typeface="+mn-lt"/>
              <a:ea typeface="+mn-ea"/>
              <a:cs typeface="+mn-cs"/>
            </a:rPr>
            <a:t>GET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5EABA-5D18-4AB8-9473-65B604AC928E}">
  <sheetPr codeName="Sheet1"/>
  <dimension ref="A1:AD42"/>
  <sheetViews>
    <sheetView tabSelected="1" topLeftCell="O1" workbookViewId="0">
      <selection activeCell="R7" sqref="R7"/>
    </sheetView>
  </sheetViews>
  <sheetFormatPr defaultRowHeight="15" x14ac:dyDescent="0.25"/>
  <cols>
    <col min="1" max="1" width="12.7109375" customWidth="1"/>
    <col min="2" max="2" width="10" customWidth="1"/>
    <col min="3" max="3" width="13.7109375" customWidth="1"/>
    <col min="4" max="4" width="11.140625" customWidth="1"/>
    <col min="5" max="5" width="11.85546875" customWidth="1"/>
    <col min="6" max="6" width="12.28515625" customWidth="1"/>
    <col min="8" max="8" width="12.7109375" customWidth="1"/>
    <col min="9" max="9" width="10" customWidth="1"/>
    <col min="10" max="10" width="13.7109375" customWidth="1"/>
    <col min="11" max="11" width="11.140625" customWidth="1"/>
    <col min="12" max="12" width="11.85546875" customWidth="1"/>
    <col min="13" max="13" width="12.28515625" customWidth="1"/>
    <col min="15" max="15" width="8.28515625" customWidth="1"/>
    <col min="18" max="18" width="12.7109375" customWidth="1"/>
    <col min="19" max="19" width="10" customWidth="1"/>
    <col min="20" max="20" width="13.7109375" customWidth="1"/>
    <col min="21" max="21" width="11.140625" customWidth="1"/>
    <col min="22" max="22" width="11.85546875" customWidth="1"/>
    <col min="23" max="23" width="12.28515625" customWidth="1"/>
    <col min="25" max="25" width="8.28515625" customWidth="1"/>
    <col min="28" max="28" width="10.7109375" customWidth="1"/>
    <col min="29" max="29" width="10" customWidth="1"/>
    <col min="30" max="30" width="12.42578125" customWidth="1"/>
  </cols>
  <sheetData>
    <row r="1" spans="1:30" ht="18.75" x14ac:dyDescent="0.3">
      <c r="A1" s="1" t="s">
        <v>0</v>
      </c>
      <c r="B1" s="1" t="s">
        <v>1</v>
      </c>
      <c r="C1" s="1" t="s">
        <v>2</v>
      </c>
      <c r="D1" s="1" t="s">
        <v>39</v>
      </c>
      <c r="E1" s="1" t="s">
        <v>47</v>
      </c>
      <c r="F1" s="1" t="s">
        <v>55</v>
      </c>
      <c r="K1" s="1" t="s">
        <v>47</v>
      </c>
      <c r="L1" s="1" t="s">
        <v>56</v>
      </c>
      <c r="M1" s="1" t="s">
        <v>55</v>
      </c>
    </row>
    <row r="2" spans="1:30" x14ac:dyDescent="0.25">
      <c r="A2" s="2">
        <v>46083</v>
      </c>
      <c r="B2" s="3" t="s">
        <v>3</v>
      </c>
      <c r="C2" s="3" t="s">
        <v>4</v>
      </c>
      <c r="D2" s="3" t="s">
        <v>40</v>
      </c>
      <c r="E2" s="3" t="s">
        <v>48</v>
      </c>
      <c r="F2" s="3">
        <v>21</v>
      </c>
      <c r="K2" s="3" t="s">
        <v>48</v>
      </c>
      <c r="L2" s="3">
        <f>COUNTIF(E:E,K2)</f>
        <v>5</v>
      </c>
      <c r="M2" s="3">
        <f>SUMIFS(F:F,E:E,K2)</f>
        <v>208</v>
      </c>
    </row>
    <row r="3" spans="1:30" x14ac:dyDescent="0.25">
      <c r="A3" s="2">
        <v>46084</v>
      </c>
      <c r="B3" s="3" t="s">
        <v>3</v>
      </c>
      <c r="C3" s="3" t="s">
        <v>5</v>
      </c>
      <c r="D3" s="3" t="s">
        <v>41</v>
      </c>
      <c r="E3" s="3" t="s">
        <v>49</v>
      </c>
      <c r="F3" s="3">
        <v>14</v>
      </c>
      <c r="K3" s="3" t="s">
        <v>49</v>
      </c>
      <c r="L3" s="3">
        <f t="shared" ref="L3:L8" si="0">COUNTIF(E:E,K3)</f>
        <v>6</v>
      </c>
      <c r="M3" s="3">
        <f t="shared" ref="M3:M8" si="1">SUMIFS(F:F,E:E,K3)</f>
        <v>247</v>
      </c>
    </row>
    <row r="4" spans="1:30" x14ac:dyDescent="0.25">
      <c r="A4" s="2">
        <v>46085</v>
      </c>
      <c r="B4" s="3" t="s">
        <v>3</v>
      </c>
      <c r="C4" s="3" t="s">
        <v>6</v>
      </c>
      <c r="D4" s="3" t="s">
        <v>42</v>
      </c>
      <c r="E4" s="3" t="s">
        <v>50</v>
      </c>
      <c r="F4" s="3">
        <v>22</v>
      </c>
      <c r="K4" s="3" t="s">
        <v>50</v>
      </c>
      <c r="L4" s="3">
        <f t="shared" si="0"/>
        <v>4</v>
      </c>
      <c r="M4" s="3">
        <f t="shared" si="1"/>
        <v>194</v>
      </c>
    </row>
    <row r="5" spans="1:30" ht="32.25" customHeight="1" x14ac:dyDescent="0.25">
      <c r="A5" s="2">
        <v>46086</v>
      </c>
      <c r="B5" s="3" t="s">
        <v>3</v>
      </c>
      <c r="C5" s="3" t="s">
        <v>7</v>
      </c>
      <c r="D5" s="3" t="s">
        <v>43</v>
      </c>
      <c r="E5" s="3" t="s">
        <v>51</v>
      </c>
      <c r="F5" s="3">
        <v>14</v>
      </c>
      <c r="K5" s="3" t="s">
        <v>51</v>
      </c>
      <c r="L5" s="3">
        <f t="shared" si="0"/>
        <v>4</v>
      </c>
      <c r="M5" s="3">
        <f t="shared" si="1"/>
        <v>124</v>
      </c>
    </row>
    <row r="6" spans="1:30" x14ac:dyDescent="0.25">
      <c r="A6" s="2">
        <v>46087</v>
      </c>
      <c r="B6" s="3" t="s">
        <v>3</v>
      </c>
      <c r="C6" s="3" t="s">
        <v>8</v>
      </c>
      <c r="D6" s="3" t="s">
        <v>44</v>
      </c>
      <c r="E6" s="3" t="s">
        <v>52</v>
      </c>
      <c r="F6" s="3">
        <v>25</v>
      </c>
      <c r="K6" s="4" t="s">
        <v>52</v>
      </c>
      <c r="L6" s="4">
        <f t="shared" si="0"/>
        <v>6</v>
      </c>
      <c r="M6" s="4">
        <f t="shared" si="1"/>
        <v>242</v>
      </c>
    </row>
    <row r="7" spans="1:30" ht="18.75" x14ac:dyDescent="0.3">
      <c r="A7" s="2">
        <v>46090</v>
      </c>
      <c r="B7" s="3" t="s">
        <v>3</v>
      </c>
      <c r="C7" s="3" t="s">
        <v>9</v>
      </c>
      <c r="D7" s="3" t="s">
        <v>45</v>
      </c>
      <c r="E7" s="3" t="s">
        <v>53</v>
      </c>
      <c r="F7" s="3">
        <v>24</v>
      </c>
      <c r="H7" s="1" t="s">
        <v>0</v>
      </c>
      <c r="I7" s="1" t="s">
        <v>1</v>
      </c>
      <c r="J7" s="1" t="s">
        <v>2</v>
      </c>
      <c r="K7" s="1" t="s">
        <v>39</v>
      </c>
      <c r="L7" s="1" t="s">
        <v>47</v>
      </c>
      <c r="M7" s="1" t="s">
        <v>55</v>
      </c>
      <c r="R7" s="1" t="s">
        <v>0</v>
      </c>
      <c r="S7" s="1" t="s">
        <v>1</v>
      </c>
      <c r="T7" s="1" t="s">
        <v>2</v>
      </c>
      <c r="U7" s="1" t="s">
        <v>39</v>
      </c>
      <c r="V7" s="1" t="s">
        <v>47</v>
      </c>
      <c r="W7" s="1" t="s">
        <v>55</v>
      </c>
      <c r="AB7" s="1" t="s">
        <v>47</v>
      </c>
      <c r="AC7" s="1" t="s">
        <v>56</v>
      </c>
      <c r="AD7" s="1" t="s">
        <v>55</v>
      </c>
    </row>
    <row r="8" spans="1:30" x14ac:dyDescent="0.25">
      <c r="A8" s="2">
        <v>46091</v>
      </c>
      <c r="B8" s="3" t="s">
        <v>3</v>
      </c>
      <c r="C8" s="3" t="s">
        <v>10</v>
      </c>
      <c r="D8" s="3" t="s">
        <v>46</v>
      </c>
      <c r="E8" s="3" t="s">
        <v>54</v>
      </c>
      <c r="F8" s="3">
        <v>38</v>
      </c>
      <c r="H8" s="2">
        <v>46083</v>
      </c>
      <c r="I8" s="3" t="s">
        <v>3</v>
      </c>
      <c r="J8" s="3" t="s">
        <v>4</v>
      </c>
      <c r="K8" s="3" t="s">
        <v>40</v>
      </c>
      <c r="L8" s="3" t="s">
        <v>48</v>
      </c>
      <c r="M8" s="3">
        <v>21</v>
      </c>
      <c r="R8" s="2">
        <v>46083</v>
      </c>
      <c r="S8" s="3" t="s">
        <v>3</v>
      </c>
      <c r="T8" s="3" t="s">
        <v>4</v>
      </c>
      <c r="U8" s="3" t="s">
        <v>40</v>
      </c>
      <c r="V8" s="3" t="s">
        <v>48</v>
      </c>
      <c r="W8" s="3">
        <v>21</v>
      </c>
      <c r="AB8" s="3" t="s">
        <v>48</v>
      </c>
      <c r="AC8" s="3">
        <f>COUNTIF(V:V,AB8)</f>
        <v>5</v>
      </c>
      <c r="AD8" s="3">
        <f>SUMIFS(W:W,V:V,AB8)</f>
        <v>208</v>
      </c>
    </row>
    <row r="9" spans="1:30" x14ac:dyDescent="0.25">
      <c r="A9" s="2">
        <v>46092</v>
      </c>
      <c r="B9" s="3" t="s">
        <v>3</v>
      </c>
      <c r="C9" s="3" t="s">
        <v>11</v>
      </c>
      <c r="D9" s="3" t="s">
        <v>40</v>
      </c>
      <c r="E9" s="3" t="s">
        <v>53</v>
      </c>
      <c r="F9" s="3">
        <v>19</v>
      </c>
      <c r="H9" s="2">
        <v>46084</v>
      </c>
      <c r="I9" s="3" t="s">
        <v>3</v>
      </c>
      <c r="J9" s="3" t="s">
        <v>5</v>
      </c>
      <c r="K9" s="3" t="s">
        <v>41</v>
      </c>
      <c r="L9" s="3" t="s">
        <v>49</v>
      </c>
      <c r="M9" s="3">
        <v>14</v>
      </c>
      <c r="R9" s="2">
        <v>46084</v>
      </c>
      <c r="S9" s="3" t="s">
        <v>3</v>
      </c>
      <c r="T9" s="3" t="s">
        <v>5</v>
      </c>
      <c r="U9" s="3" t="s">
        <v>41</v>
      </c>
      <c r="V9" s="3" t="s">
        <v>49</v>
      </c>
      <c r="W9" s="3">
        <v>14</v>
      </c>
      <c r="AB9" s="3" t="s">
        <v>49</v>
      </c>
      <c r="AC9" s="3">
        <f t="shared" ref="AC9:AC14" si="2">COUNTIF(V:V,AB9)</f>
        <v>6</v>
      </c>
      <c r="AD9" s="3">
        <f t="shared" ref="AD9:AD14" si="3">SUMIFS(W:W,V:V,AB9)</f>
        <v>247</v>
      </c>
    </row>
    <row r="10" spans="1:30" x14ac:dyDescent="0.25">
      <c r="A10" s="2">
        <v>46093</v>
      </c>
      <c r="B10" s="3" t="s">
        <v>3</v>
      </c>
      <c r="C10" s="3" t="s">
        <v>12</v>
      </c>
      <c r="D10" s="3" t="s">
        <v>40</v>
      </c>
      <c r="E10" s="3" t="s">
        <v>54</v>
      </c>
      <c r="F10" s="3">
        <v>12</v>
      </c>
      <c r="H10" s="2">
        <v>46085</v>
      </c>
      <c r="I10" s="3" t="s">
        <v>3</v>
      </c>
      <c r="J10" s="3" t="s">
        <v>6</v>
      </c>
      <c r="K10" s="3" t="s">
        <v>42</v>
      </c>
      <c r="L10" s="3" t="s">
        <v>50</v>
      </c>
      <c r="M10" s="3">
        <v>22</v>
      </c>
      <c r="R10" s="2">
        <v>46085</v>
      </c>
      <c r="S10" s="3" t="s">
        <v>3</v>
      </c>
      <c r="T10" s="3" t="s">
        <v>6</v>
      </c>
      <c r="U10" s="3" t="s">
        <v>42</v>
      </c>
      <c r="V10" s="3" t="s">
        <v>50</v>
      </c>
      <c r="W10" s="3">
        <v>22</v>
      </c>
      <c r="AB10" s="3" t="s">
        <v>50</v>
      </c>
      <c r="AC10" s="3">
        <f t="shared" si="2"/>
        <v>4</v>
      </c>
      <c r="AD10" s="3">
        <f t="shared" si="3"/>
        <v>194</v>
      </c>
    </row>
    <row r="11" spans="1:30" ht="32.25" customHeight="1" x14ac:dyDescent="0.25">
      <c r="A11" s="2">
        <v>46094</v>
      </c>
      <c r="B11" s="3" t="s">
        <v>3</v>
      </c>
      <c r="C11" s="3" t="s">
        <v>13</v>
      </c>
      <c r="D11" s="3" t="s">
        <v>41</v>
      </c>
      <c r="E11" s="3" t="s">
        <v>48</v>
      </c>
      <c r="F11" s="3">
        <v>54</v>
      </c>
      <c r="H11" s="2">
        <v>46086</v>
      </c>
      <c r="I11" s="3" t="s">
        <v>3</v>
      </c>
      <c r="J11" s="3" t="s">
        <v>7</v>
      </c>
      <c r="K11" s="3" t="s">
        <v>43</v>
      </c>
      <c r="L11" s="3" t="s">
        <v>51</v>
      </c>
      <c r="M11" s="3">
        <v>14</v>
      </c>
      <c r="R11" s="2">
        <v>46086</v>
      </c>
      <c r="S11" s="3" t="s">
        <v>3</v>
      </c>
      <c r="T11" s="3" t="s">
        <v>7</v>
      </c>
      <c r="U11" s="3" t="s">
        <v>43</v>
      </c>
      <c r="V11" s="3" t="s">
        <v>51</v>
      </c>
      <c r="W11" s="3">
        <v>14</v>
      </c>
      <c r="AB11" s="3" t="s">
        <v>51</v>
      </c>
      <c r="AC11" s="3">
        <f t="shared" si="2"/>
        <v>4</v>
      </c>
      <c r="AD11" s="3">
        <f t="shared" si="3"/>
        <v>124</v>
      </c>
    </row>
    <row r="12" spans="1:30" x14ac:dyDescent="0.25">
      <c r="A12" s="2">
        <v>46097</v>
      </c>
      <c r="B12" s="3" t="s">
        <v>3</v>
      </c>
      <c r="C12" s="3" t="s">
        <v>14</v>
      </c>
      <c r="D12" s="3" t="s">
        <v>42</v>
      </c>
      <c r="E12" s="3" t="s">
        <v>49</v>
      </c>
      <c r="F12" s="3">
        <v>24</v>
      </c>
      <c r="H12" s="2">
        <v>46087</v>
      </c>
      <c r="I12" s="3" t="s">
        <v>3</v>
      </c>
      <c r="J12" s="3" t="s">
        <v>8</v>
      </c>
      <c r="K12" s="3" t="s">
        <v>44</v>
      </c>
      <c r="L12" s="3" t="s">
        <v>52</v>
      </c>
      <c r="M12" s="3">
        <v>25</v>
      </c>
      <c r="R12" s="2">
        <v>46087</v>
      </c>
      <c r="S12" s="3" t="s">
        <v>3</v>
      </c>
      <c r="T12" s="3" t="s">
        <v>8</v>
      </c>
      <c r="U12" s="3" t="s">
        <v>44</v>
      </c>
      <c r="V12" s="3" t="s">
        <v>52</v>
      </c>
      <c r="W12" s="3">
        <v>25</v>
      </c>
      <c r="AB12" s="3" t="s">
        <v>52</v>
      </c>
      <c r="AC12" s="3">
        <f t="shared" si="2"/>
        <v>6</v>
      </c>
      <c r="AD12" s="3">
        <f t="shared" si="3"/>
        <v>242</v>
      </c>
    </row>
    <row r="13" spans="1:30" x14ac:dyDescent="0.25">
      <c r="A13" s="2">
        <v>46098</v>
      </c>
      <c r="B13" s="3" t="s">
        <v>3</v>
      </c>
      <c r="C13" s="3" t="s">
        <v>15</v>
      </c>
      <c r="D13" s="3" t="s">
        <v>42</v>
      </c>
      <c r="E13" s="3" t="s">
        <v>48</v>
      </c>
      <c r="F13" s="3">
        <v>67</v>
      </c>
      <c r="H13" s="2">
        <v>46090</v>
      </c>
      <c r="I13" s="3" t="s">
        <v>3</v>
      </c>
      <c r="J13" s="3" t="s">
        <v>9</v>
      </c>
      <c r="K13" s="3" t="s">
        <v>45</v>
      </c>
      <c r="L13" s="3" t="s">
        <v>53</v>
      </c>
      <c r="M13" s="3">
        <v>24</v>
      </c>
      <c r="R13" s="2">
        <v>46090</v>
      </c>
      <c r="S13" s="3" t="s">
        <v>3</v>
      </c>
      <c r="T13" s="3" t="s">
        <v>9</v>
      </c>
      <c r="U13" s="3" t="s">
        <v>45</v>
      </c>
      <c r="V13" s="3" t="s">
        <v>53</v>
      </c>
      <c r="W13" s="3">
        <v>24</v>
      </c>
      <c r="AB13" s="3" t="s">
        <v>53</v>
      </c>
      <c r="AC13" s="3">
        <f t="shared" si="2"/>
        <v>6</v>
      </c>
      <c r="AD13" s="3">
        <f t="shared" si="3"/>
        <v>181</v>
      </c>
    </row>
    <row r="14" spans="1:30" x14ac:dyDescent="0.25">
      <c r="A14" s="2">
        <v>46099</v>
      </c>
      <c r="B14" s="3" t="s">
        <v>3</v>
      </c>
      <c r="C14" s="3" t="s">
        <v>16</v>
      </c>
      <c r="D14" s="3" t="s">
        <v>40</v>
      </c>
      <c r="E14" s="3" t="s">
        <v>49</v>
      </c>
      <c r="F14" s="3">
        <v>68</v>
      </c>
      <c r="H14" s="2">
        <v>46091</v>
      </c>
      <c r="I14" s="3" t="s">
        <v>3</v>
      </c>
      <c r="J14" s="3" t="s">
        <v>10</v>
      </c>
      <c r="K14" s="3" t="s">
        <v>46</v>
      </c>
      <c r="L14" s="3" t="s">
        <v>54</v>
      </c>
      <c r="M14" s="3">
        <v>38</v>
      </c>
      <c r="R14" s="2">
        <v>46091</v>
      </c>
      <c r="S14" s="3" t="s">
        <v>3</v>
      </c>
      <c r="T14" s="3" t="s">
        <v>10</v>
      </c>
      <c r="U14" s="3" t="s">
        <v>46</v>
      </c>
      <c r="V14" s="3" t="s">
        <v>54</v>
      </c>
      <c r="W14" s="3">
        <v>38</v>
      </c>
      <c r="AB14" s="3" t="s">
        <v>54</v>
      </c>
      <c r="AC14" s="3">
        <f t="shared" si="2"/>
        <v>4</v>
      </c>
      <c r="AD14" s="3">
        <f t="shared" si="3"/>
        <v>93</v>
      </c>
    </row>
    <row r="15" spans="1:30" x14ac:dyDescent="0.25">
      <c r="A15" s="2">
        <v>46100</v>
      </c>
      <c r="B15" s="3" t="s">
        <v>3</v>
      </c>
      <c r="C15" s="3" t="s">
        <v>17</v>
      </c>
      <c r="D15" s="3" t="s">
        <v>43</v>
      </c>
      <c r="E15" s="3" t="s">
        <v>50</v>
      </c>
      <c r="F15" s="3">
        <v>45</v>
      </c>
      <c r="H15" s="2">
        <v>46092</v>
      </c>
      <c r="I15" s="3" t="s">
        <v>3</v>
      </c>
      <c r="J15" s="3" t="s">
        <v>11</v>
      </c>
      <c r="K15" s="3" t="s">
        <v>40</v>
      </c>
      <c r="L15" s="3" t="s">
        <v>53</v>
      </c>
      <c r="M15" s="3">
        <v>19</v>
      </c>
      <c r="R15" s="2">
        <v>46092</v>
      </c>
      <c r="S15" s="3" t="s">
        <v>3</v>
      </c>
      <c r="T15" s="3" t="s">
        <v>11</v>
      </c>
      <c r="U15" s="3" t="s">
        <v>40</v>
      </c>
      <c r="V15" s="3" t="s">
        <v>53</v>
      </c>
      <c r="W15" s="3">
        <v>19</v>
      </c>
    </row>
    <row r="16" spans="1:30" x14ac:dyDescent="0.25">
      <c r="A16" s="2">
        <v>46101</v>
      </c>
      <c r="B16" s="3" t="s">
        <v>3</v>
      </c>
      <c r="C16" s="3" t="s">
        <v>18</v>
      </c>
      <c r="D16" s="3" t="s">
        <v>44</v>
      </c>
      <c r="E16" s="3" t="s">
        <v>51</v>
      </c>
      <c r="F16" s="3">
        <v>34</v>
      </c>
      <c r="H16" s="2">
        <v>46093</v>
      </c>
      <c r="I16" s="3" t="s">
        <v>3</v>
      </c>
      <c r="J16" s="3" t="s">
        <v>12</v>
      </c>
      <c r="K16" s="3" t="s">
        <v>40</v>
      </c>
      <c r="L16" s="3" t="s">
        <v>54</v>
      </c>
      <c r="M16" s="3">
        <v>12</v>
      </c>
      <c r="R16" s="2">
        <v>46093</v>
      </c>
      <c r="S16" s="3" t="s">
        <v>3</v>
      </c>
      <c r="T16" s="3" t="s">
        <v>12</v>
      </c>
      <c r="U16" s="3" t="s">
        <v>40</v>
      </c>
      <c r="V16" s="3" t="s">
        <v>54</v>
      </c>
      <c r="W16" s="3">
        <v>12</v>
      </c>
    </row>
    <row r="17" spans="1:23" x14ac:dyDescent="0.25">
      <c r="A17" s="2">
        <v>46104</v>
      </c>
      <c r="B17" s="3" t="s">
        <v>3</v>
      </c>
      <c r="C17" s="3" t="s">
        <v>19</v>
      </c>
      <c r="D17" s="3" t="s">
        <v>45</v>
      </c>
      <c r="E17" s="3" t="s">
        <v>52</v>
      </c>
      <c r="F17" s="3">
        <v>9</v>
      </c>
      <c r="H17" s="2">
        <v>46094</v>
      </c>
      <c r="I17" s="3" t="s">
        <v>3</v>
      </c>
      <c r="J17" s="3" t="s">
        <v>13</v>
      </c>
      <c r="K17" s="3" t="s">
        <v>41</v>
      </c>
      <c r="L17" s="3" t="s">
        <v>48</v>
      </c>
      <c r="M17" s="3">
        <v>54</v>
      </c>
      <c r="R17" s="2">
        <v>46094</v>
      </c>
      <c r="S17" s="3" t="s">
        <v>3</v>
      </c>
      <c r="T17" s="3" t="s">
        <v>13</v>
      </c>
      <c r="U17" s="3" t="s">
        <v>41</v>
      </c>
      <c r="V17" s="3" t="s">
        <v>48</v>
      </c>
      <c r="W17" s="3">
        <v>54</v>
      </c>
    </row>
    <row r="18" spans="1:23" x14ac:dyDescent="0.25">
      <c r="A18" s="2">
        <v>46105</v>
      </c>
      <c r="B18" s="3" t="s">
        <v>3</v>
      </c>
      <c r="C18" s="3" t="s">
        <v>20</v>
      </c>
      <c r="D18" s="3" t="s">
        <v>46</v>
      </c>
      <c r="E18" s="3" t="s">
        <v>53</v>
      </c>
      <c r="F18" s="3">
        <v>49</v>
      </c>
      <c r="H18" s="2">
        <v>46097</v>
      </c>
      <c r="I18" s="3" t="s">
        <v>3</v>
      </c>
      <c r="J18" s="3" t="s">
        <v>14</v>
      </c>
      <c r="K18" s="3" t="s">
        <v>42</v>
      </c>
      <c r="L18" s="3" t="s">
        <v>49</v>
      </c>
      <c r="M18" s="3">
        <v>24</v>
      </c>
      <c r="R18" s="2">
        <v>46097</v>
      </c>
      <c r="S18" s="3" t="s">
        <v>3</v>
      </c>
      <c r="T18" s="3" t="s">
        <v>14</v>
      </c>
      <c r="U18" s="3" t="s">
        <v>42</v>
      </c>
      <c r="V18" s="3" t="s">
        <v>49</v>
      </c>
      <c r="W18" s="3">
        <v>24</v>
      </c>
    </row>
    <row r="19" spans="1:23" x14ac:dyDescent="0.25">
      <c r="A19" s="2">
        <v>46106</v>
      </c>
      <c r="B19" s="3" t="s">
        <v>3</v>
      </c>
      <c r="C19" s="3" t="s">
        <v>21</v>
      </c>
      <c r="D19" s="3" t="s">
        <v>43</v>
      </c>
      <c r="E19" s="3" t="s">
        <v>54</v>
      </c>
      <c r="F19" s="3">
        <v>30</v>
      </c>
      <c r="H19" s="2">
        <v>46098</v>
      </c>
      <c r="I19" s="3" t="s">
        <v>3</v>
      </c>
      <c r="J19" s="3" t="s">
        <v>15</v>
      </c>
      <c r="K19" s="3" t="s">
        <v>42</v>
      </c>
      <c r="L19" s="3" t="s">
        <v>48</v>
      </c>
      <c r="M19" s="3">
        <v>67</v>
      </c>
      <c r="R19" s="2">
        <v>46098</v>
      </c>
      <c r="S19" s="3" t="s">
        <v>3</v>
      </c>
      <c r="T19" s="3" t="s">
        <v>15</v>
      </c>
      <c r="U19" s="3" t="s">
        <v>42</v>
      </c>
      <c r="V19" s="3" t="s">
        <v>48</v>
      </c>
      <c r="W19" s="3">
        <v>67</v>
      </c>
    </row>
    <row r="20" spans="1:23" x14ac:dyDescent="0.25">
      <c r="A20" s="2">
        <v>46107</v>
      </c>
      <c r="B20" s="3" t="s">
        <v>3</v>
      </c>
      <c r="C20" s="3" t="s">
        <v>22</v>
      </c>
      <c r="D20" s="3" t="s">
        <v>41</v>
      </c>
      <c r="E20" s="3" t="s">
        <v>52</v>
      </c>
      <c r="F20" s="3">
        <v>46</v>
      </c>
      <c r="H20" s="2">
        <v>46099</v>
      </c>
      <c r="I20" s="3" t="s">
        <v>3</v>
      </c>
      <c r="J20" s="3" t="s">
        <v>16</v>
      </c>
      <c r="K20" s="3" t="s">
        <v>40</v>
      </c>
      <c r="L20" s="3" t="s">
        <v>49</v>
      </c>
      <c r="M20" s="3">
        <v>68</v>
      </c>
      <c r="R20" s="2">
        <v>46099</v>
      </c>
      <c r="S20" s="3" t="s">
        <v>3</v>
      </c>
      <c r="T20" s="3" t="s">
        <v>16</v>
      </c>
      <c r="U20" s="3" t="s">
        <v>40</v>
      </c>
      <c r="V20" s="3" t="s">
        <v>49</v>
      </c>
      <c r="W20" s="3">
        <v>68</v>
      </c>
    </row>
    <row r="21" spans="1:23" x14ac:dyDescent="0.25">
      <c r="A21" s="2">
        <v>46108</v>
      </c>
      <c r="B21" s="3" t="s">
        <v>3</v>
      </c>
      <c r="C21" s="3" t="s">
        <v>23</v>
      </c>
      <c r="D21" s="3" t="s">
        <v>40</v>
      </c>
      <c r="E21" s="3" t="s">
        <v>53</v>
      </c>
      <c r="F21" s="3">
        <v>24</v>
      </c>
      <c r="H21" s="2">
        <v>46100</v>
      </c>
      <c r="I21" s="3" t="s">
        <v>3</v>
      </c>
      <c r="J21" s="3" t="s">
        <v>17</v>
      </c>
      <c r="K21" s="3" t="s">
        <v>43</v>
      </c>
      <c r="L21" s="3" t="s">
        <v>50</v>
      </c>
      <c r="M21" s="3">
        <v>45</v>
      </c>
      <c r="R21" s="2">
        <v>46100</v>
      </c>
      <c r="S21" s="3" t="s">
        <v>3</v>
      </c>
      <c r="T21" s="3" t="s">
        <v>17</v>
      </c>
      <c r="U21" s="3" t="s">
        <v>43</v>
      </c>
      <c r="V21" s="3" t="s">
        <v>50</v>
      </c>
      <c r="W21" s="3">
        <v>45</v>
      </c>
    </row>
    <row r="22" spans="1:23" x14ac:dyDescent="0.25">
      <c r="A22" s="2">
        <v>46111</v>
      </c>
      <c r="B22" s="3" t="s">
        <v>3</v>
      </c>
      <c r="C22" s="3" t="s">
        <v>24</v>
      </c>
      <c r="D22" s="3" t="s">
        <v>42</v>
      </c>
      <c r="E22" s="3" t="s">
        <v>49</v>
      </c>
      <c r="F22" s="3">
        <v>31</v>
      </c>
      <c r="H22" s="2">
        <v>46101</v>
      </c>
      <c r="I22" s="3" t="s">
        <v>3</v>
      </c>
      <c r="J22" s="3" t="s">
        <v>18</v>
      </c>
      <c r="K22" s="3" t="s">
        <v>44</v>
      </c>
      <c r="L22" s="3" t="s">
        <v>51</v>
      </c>
      <c r="M22" s="3">
        <v>34</v>
      </c>
      <c r="R22" s="2">
        <v>46101</v>
      </c>
      <c r="S22" s="3" t="s">
        <v>3</v>
      </c>
      <c r="T22" s="3" t="s">
        <v>18</v>
      </c>
      <c r="U22" s="3" t="s">
        <v>44</v>
      </c>
      <c r="V22" s="3" t="s">
        <v>51</v>
      </c>
      <c r="W22" s="3">
        <v>34</v>
      </c>
    </row>
    <row r="23" spans="1:23" x14ac:dyDescent="0.25">
      <c r="A23" s="2">
        <v>46112</v>
      </c>
      <c r="B23" s="3" t="s">
        <v>3</v>
      </c>
      <c r="C23" s="3" t="s">
        <v>25</v>
      </c>
      <c r="D23" s="3" t="s">
        <v>42</v>
      </c>
      <c r="E23" s="3" t="s">
        <v>48</v>
      </c>
      <c r="F23" s="3">
        <v>42</v>
      </c>
      <c r="H23" s="2">
        <v>46104</v>
      </c>
      <c r="I23" s="3" t="s">
        <v>3</v>
      </c>
      <c r="J23" s="3" t="s">
        <v>19</v>
      </c>
      <c r="K23" s="3" t="s">
        <v>45</v>
      </c>
      <c r="L23" s="3" t="s">
        <v>52</v>
      </c>
      <c r="M23" s="3">
        <v>9</v>
      </c>
      <c r="R23" s="2">
        <v>46104</v>
      </c>
      <c r="S23" s="3" t="s">
        <v>3</v>
      </c>
      <c r="T23" s="3" t="s">
        <v>19</v>
      </c>
      <c r="U23" s="3" t="s">
        <v>45</v>
      </c>
      <c r="V23" s="3" t="s">
        <v>52</v>
      </c>
      <c r="W23" s="3">
        <v>9</v>
      </c>
    </row>
    <row r="24" spans="1:23" x14ac:dyDescent="0.25">
      <c r="A24" s="2">
        <v>46113</v>
      </c>
      <c r="B24" s="3" t="s">
        <v>3</v>
      </c>
      <c r="C24" s="3" t="s">
        <v>26</v>
      </c>
      <c r="D24" s="3" t="s">
        <v>44</v>
      </c>
      <c r="E24" s="3" t="s">
        <v>49</v>
      </c>
      <c r="F24" s="3">
        <v>64</v>
      </c>
      <c r="H24" s="2">
        <v>46105</v>
      </c>
      <c r="I24" s="3" t="s">
        <v>3</v>
      </c>
      <c r="J24" s="3" t="s">
        <v>20</v>
      </c>
      <c r="K24" s="3" t="s">
        <v>46</v>
      </c>
      <c r="L24" s="3" t="s">
        <v>53</v>
      </c>
      <c r="M24" s="3">
        <v>49</v>
      </c>
      <c r="R24" s="2">
        <v>46105</v>
      </c>
      <c r="S24" s="3" t="s">
        <v>3</v>
      </c>
      <c r="T24" s="3" t="s">
        <v>20</v>
      </c>
      <c r="U24" s="3" t="s">
        <v>46</v>
      </c>
      <c r="V24" s="3" t="s">
        <v>53</v>
      </c>
      <c r="W24" s="3">
        <v>49</v>
      </c>
    </row>
    <row r="25" spans="1:23" x14ac:dyDescent="0.25">
      <c r="A25" s="2">
        <v>46114</v>
      </c>
      <c r="B25" s="3" t="s">
        <v>3</v>
      </c>
      <c r="C25" s="3" t="s">
        <v>27</v>
      </c>
      <c r="D25" s="3" t="s">
        <v>44</v>
      </c>
      <c r="E25" s="3" t="s">
        <v>50</v>
      </c>
      <c r="F25" s="3">
        <v>64</v>
      </c>
      <c r="H25" s="2">
        <v>46106</v>
      </c>
      <c r="I25" s="3" t="s">
        <v>3</v>
      </c>
      <c r="J25" s="3" t="s">
        <v>21</v>
      </c>
      <c r="K25" s="3" t="s">
        <v>43</v>
      </c>
      <c r="L25" s="3" t="s">
        <v>54</v>
      </c>
      <c r="M25" s="3">
        <v>30</v>
      </c>
      <c r="R25" s="2">
        <v>46106</v>
      </c>
      <c r="S25" s="3" t="s">
        <v>3</v>
      </c>
      <c r="T25" s="3" t="s">
        <v>21</v>
      </c>
      <c r="U25" s="3" t="s">
        <v>43</v>
      </c>
      <c r="V25" s="3" t="s">
        <v>54</v>
      </c>
      <c r="W25" s="3">
        <v>30</v>
      </c>
    </row>
    <row r="26" spans="1:23" x14ac:dyDescent="0.25">
      <c r="A26" s="2">
        <v>46115</v>
      </c>
      <c r="B26" s="3" t="s">
        <v>3</v>
      </c>
      <c r="C26" s="3" t="s">
        <v>28</v>
      </c>
      <c r="D26" s="3" t="s">
        <v>45</v>
      </c>
      <c r="E26" s="3" t="s">
        <v>51</v>
      </c>
      <c r="F26" s="3">
        <v>74</v>
      </c>
      <c r="H26" s="2">
        <v>46107</v>
      </c>
      <c r="I26" s="3" t="s">
        <v>3</v>
      </c>
      <c r="J26" s="3" t="s">
        <v>22</v>
      </c>
      <c r="K26" s="3" t="s">
        <v>41</v>
      </c>
      <c r="L26" s="3" t="s">
        <v>52</v>
      </c>
      <c r="M26" s="3">
        <v>46</v>
      </c>
      <c r="R26" s="2">
        <v>46107</v>
      </c>
      <c r="S26" s="3" t="s">
        <v>3</v>
      </c>
      <c r="T26" s="3" t="s">
        <v>22</v>
      </c>
      <c r="U26" s="3" t="s">
        <v>41</v>
      </c>
      <c r="V26" s="3" t="s">
        <v>52</v>
      </c>
      <c r="W26" s="3">
        <v>46</v>
      </c>
    </row>
    <row r="27" spans="1:23" x14ac:dyDescent="0.25">
      <c r="A27" s="2">
        <v>46118</v>
      </c>
      <c r="B27" s="3" t="s">
        <v>3</v>
      </c>
      <c r="C27" s="3" t="s">
        <v>29</v>
      </c>
      <c r="D27" s="3" t="s">
        <v>40</v>
      </c>
      <c r="E27" s="3" t="s">
        <v>52</v>
      </c>
      <c r="F27" s="3">
        <v>94</v>
      </c>
      <c r="H27" s="2">
        <v>46108</v>
      </c>
      <c r="I27" s="3" t="s">
        <v>3</v>
      </c>
      <c r="J27" s="3" t="s">
        <v>23</v>
      </c>
      <c r="K27" s="3" t="s">
        <v>40</v>
      </c>
      <c r="L27" s="3" t="s">
        <v>53</v>
      </c>
      <c r="M27" s="3">
        <v>24</v>
      </c>
      <c r="R27" s="2">
        <v>46108</v>
      </c>
      <c r="S27" s="3" t="s">
        <v>3</v>
      </c>
      <c r="T27" s="3" t="s">
        <v>23</v>
      </c>
      <c r="U27" s="3" t="s">
        <v>40</v>
      </c>
      <c r="V27" s="3" t="s">
        <v>53</v>
      </c>
      <c r="W27" s="3">
        <v>24</v>
      </c>
    </row>
    <row r="28" spans="1:23" x14ac:dyDescent="0.25">
      <c r="A28" s="2">
        <v>46119</v>
      </c>
      <c r="B28" s="3" t="s">
        <v>3</v>
      </c>
      <c r="C28" s="3" t="s">
        <v>30</v>
      </c>
      <c r="D28" s="3" t="s">
        <v>41</v>
      </c>
      <c r="E28" s="3" t="s">
        <v>53</v>
      </c>
      <c r="F28" s="3">
        <v>42</v>
      </c>
      <c r="H28" s="2">
        <v>46111</v>
      </c>
      <c r="I28" s="3" t="s">
        <v>3</v>
      </c>
      <c r="J28" s="3" t="s">
        <v>24</v>
      </c>
      <c r="K28" s="3" t="s">
        <v>42</v>
      </c>
      <c r="L28" s="3" t="s">
        <v>49</v>
      </c>
      <c r="M28" s="3">
        <v>31</v>
      </c>
      <c r="R28" s="2">
        <v>46111</v>
      </c>
      <c r="S28" s="3" t="s">
        <v>3</v>
      </c>
      <c r="T28" s="3" t="s">
        <v>24</v>
      </c>
      <c r="U28" s="3" t="s">
        <v>42</v>
      </c>
      <c r="V28" s="3" t="s">
        <v>49</v>
      </c>
      <c r="W28" s="3">
        <v>31</v>
      </c>
    </row>
    <row r="29" spans="1:23" x14ac:dyDescent="0.25">
      <c r="A29" s="2">
        <v>46120</v>
      </c>
      <c r="B29" s="3" t="s">
        <v>3</v>
      </c>
      <c r="C29" s="3" t="s">
        <v>31</v>
      </c>
      <c r="D29" s="3" t="s">
        <v>43</v>
      </c>
      <c r="E29" s="3" t="s">
        <v>54</v>
      </c>
      <c r="F29" s="3">
        <v>13</v>
      </c>
      <c r="H29" s="2">
        <v>46112</v>
      </c>
      <c r="I29" s="3" t="s">
        <v>3</v>
      </c>
      <c r="J29" s="3" t="s">
        <v>25</v>
      </c>
      <c r="K29" s="3" t="s">
        <v>42</v>
      </c>
      <c r="L29" s="3" t="s">
        <v>48</v>
      </c>
      <c r="M29" s="3">
        <v>42</v>
      </c>
      <c r="R29" s="2">
        <v>46112</v>
      </c>
      <c r="S29" s="3" t="s">
        <v>3</v>
      </c>
      <c r="T29" s="3" t="s">
        <v>25</v>
      </c>
      <c r="U29" s="3" t="s">
        <v>42</v>
      </c>
      <c r="V29" s="3" t="s">
        <v>48</v>
      </c>
      <c r="W29" s="3">
        <v>42</v>
      </c>
    </row>
    <row r="30" spans="1:23" x14ac:dyDescent="0.25">
      <c r="A30" s="2">
        <v>46121</v>
      </c>
      <c r="B30" s="3" t="s">
        <v>3</v>
      </c>
      <c r="C30" s="3" t="s">
        <v>32</v>
      </c>
      <c r="D30" s="3" t="s">
        <v>45</v>
      </c>
      <c r="E30" s="3" t="s">
        <v>53</v>
      </c>
      <c r="F30" s="3">
        <v>23</v>
      </c>
      <c r="H30" s="2">
        <v>46113</v>
      </c>
      <c r="I30" s="3" t="s">
        <v>3</v>
      </c>
      <c r="J30" s="3" t="s">
        <v>26</v>
      </c>
      <c r="K30" s="3" t="s">
        <v>44</v>
      </c>
      <c r="L30" s="3" t="s">
        <v>49</v>
      </c>
      <c r="M30" s="3">
        <v>64</v>
      </c>
      <c r="R30" s="2">
        <v>46113</v>
      </c>
      <c r="S30" s="3" t="s">
        <v>3</v>
      </c>
      <c r="T30" s="3" t="s">
        <v>26</v>
      </c>
      <c r="U30" s="3" t="s">
        <v>44</v>
      </c>
      <c r="V30" s="3" t="s">
        <v>49</v>
      </c>
      <c r="W30" s="3">
        <v>64</v>
      </c>
    </row>
    <row r="31" spans="1:23" x14ac:dyDescent="0.25">
      <c r="A31" s="2">
        <v>46122</v>
      </c>
      <c r="B31" s="3" t="s">
        <v>3</v>
      </c>
      <c r="C31" s="3" t="s">
        <v>33</v>
      </c>
      <c r="D31" s="3" t="s">
        <v>44</v>
      </c>
      <c r="E31" s="3" t="s">
        <v>52</v>
      </c>
      <c r="F31" s="3">
        <v>25</v>
      </c>
      <c r="H31" s="2">
        <v>46114</v>
      </c>
      <c r="I31" s="3" t="s">
        <v>3</v>
      </c>
      <c r="J31" s="3" t="s">
        <v>27</v>
      </c>
      <c r="K31" s="3" t="s">
        <v>44</v>
      </c>
      <c r="L31" s="3" t="s">
        <v>50</v>
      </c>
      <c r="M31" s="3">
        <v>64</v>
      </c>
      <c r="R31" s="2">
        <v>46114</v>
      </c>
      <c r="S31" s="3" t="s">
        <v>3</v>
      </c>
      <c r="T31" s="3" t="s">
        <v>27</v>
      </c>
      <c r="U31" s="3" t="s">
        <v>44</v>
      </c>
      <c r="V31" s="3" t="s">
        <v>50</v>
      </c>
      <c r="W31" s="3">
        <v>64</v>
      </c>
    </row>
    <row r="32" spans="1:23" x14ac:dyDescent="0.25">
      <c r="A32" s="2">
        <v>46125</v>
      </c>
      <c r="B32" s="3" t="s">
        <v>3</v>
      </c>
      <c r="C32" s="3" t="s">
        <v>34</v>
      </c>
      <c r="D32" s="3" t="s">
        <v>41</v>
      </c>
      <c r="E32" s="3" t="s">
        <v>48</v>
      </c>
      <c r="F32" s="3">
        <v>24</v>
      </c>
      <c r="H32" s="2">
        <v>46115</v>
      </c>
      <c r="I32" s="3" t="s">
        <v>3</v>
      </c>
      <c r="J32" s="3" t="s">
        <v>28</v>
      </c>
      <c r="K32" s="3" t="s">
        <v>45</v>
      </c>
      <c r="L32" s="3" t="s">
        <v>51</v>
      </c>
      <c r="M32" s="3">
        <v>74</v>
      </c>
      <c r="R32" s="2">
        <v>46115</v>
      </c>
      <c r="S32" s="3" t="s">
        <v>3</v>
      </c>
      <c r="T32" s="3" t="s">
        <v>28</v>
      </c>
      <c r="U32" s="3" t="s">
        <v>45</v>
      </c>
      <c r="V32" s="3" t="s">
        <v>51</v>
      </c>
      <c r="W32" s="3">
        <v>74</v>
      </c>
    </row>
    <row r="33" spans="1:23" x14ac:dyDescent="0.25">
      <c r="A33" s="2">
        <v>46126</v>
      </c>
      <c r="B33" s="3" t="s">
        <v>3</v>
      </c>
      <c r="C33" s="3" t="s">
        <v>35</v>
      </c>
      <c r="D33" s="3" t="s">
        <v>40</v>
      </c>
      <c r="E33" s="3" t="s">
        <v>49</v>
      </c>
      <c r="F33" s="3">
        <v>46</v>
      </c>
      <c r="H33" s="2">
        <v>46118</v>
      </c>
      <c r="I33" s="3" t="s">
        <v>3</v>
      </c>
      <c r="J33" s="3" t="s">
        <v>29</v>
      </c>
      <c r="K33" s="3" t="s">
        <v>40</v>
      </c>
      <c r="L33" s="3" t="s">
        <v>52</v>
      </c>
      <c r="M33" s="3">
        <v>94</v>
      </c>
      <c r="R33" s="2">
        <v>46118</v>
      </c>
      <c r="S33" s="3" t="s">
        <v>3</v>
      </c>
      <c r="T33" s="3" t="s">
        <v>29</v>
      </c>
      <c r="U33" s="3" t="s">
        <v>40</v>
      </c>
      <c r="V33" s="3" t="s">
        <v>52</v>
      </c>
      <c r="W33" s="3">
        <v>94</v>
      </c>
    </row>
    <row r="34" spans="1:23" x14ac:dyDescent="0.25">
      <c r="A34" s="2">
        <v>46127</v>
      </c>
      <c r="B34" s="3" t="s">
        <v>3</v>
      </c>
      <c r="C34" s="3" t="s">
        <v>36</v>
      </c>
      <c r="D34" s="3" t="s">
        <v>41</v>
      </c>
      <c r="E34" s="3" t="s">
        <v>50</v>
      </c>
      <c r="F34" s="3">
        <v>63</v>
      </c>
      <c r="H34" s="2">
        <v>46119</v>
      </c>
      <c r="I34" s="3" t="s">
        <v>3</v>
      </c>
      <c r="J34" s="3" t="s">
        <v>30</v>
      </c>
      <c r="K34" s="3" t="s">
        <v>41</v>
      </c>
      <c r="L34" s="3" t="s">
        <v>53</v>
      </c>
      <c r="M34" s="3">
        <v>42</v>
      </c>
      <c r="R34" s="2">
        <v>46119</v>
      </c>
      <c r="S34" s="3" t="s">
        <v>3</v>
      </c>
      <c r="T34" s="3" t="s">
        <v>30</v>
      </c>
      <c r="U34" s="3" t="s">
        <v>41</v>
      </c>
      <c r="V34" s="3" t="s">
        <v>53</v>
      </c>
      <c r="W34" s="3">
        <v>42</v>
      </c>
    </row>
    <row r="35" spans="1:23" x14ac:dyDescent="0.25">
      <c r="A35" s="2">
        <v>46128</v>
      </c>
      <c r="B35" s="3" t="s">
        <v>3</v>
      </c>
      <c r="C35" s="3" t="s">
        <v>37</v>
      </c>
      <c r="D35" s="3" t="s">
        <v>44</v>
      </c>
      <c r="E35" s="3" t="s">
        <v>51</v>
      </c>
      <c r="F35" s="3">
        <v>2</v>
      </c>
      <c r="H35" s="2">
        <v>46120</v>
      </c>
      <c r="I35" s="3" t="s">
        <v>3</v>
      </c>
      <c r="J35" s="3" t="s">
        <v>31</v>
      </c>
      <c r="K35" s="3" t="s">
        <v>43</v>
      </c>
      <c r="L35" s="3" t="s">
        <v>54</v>
      </c>
      <c r="M35" s="3">
        <v>13</v>
      </c>
      <c r="R35" s="2">
        <v>46120</v>
      </c>
      <c r="S35" s="3" t="s">
        <v>3</v>
      </c>
      <c r="T35" s="3" t="s">
        <v>31</v>
      </c>
      <c r="U35" s="3" t="s">
        <v>43</v>
      </c>
      <c r="V35" s="3" t="s">
        <v>54</v>
      </c>
      <c r="W35" s="3">
        <v>13</v>
      </c>
    </row>
    <row r="36" spans="1:23" x14ac:dyDescent="0.25">
      <c r="A36" s="2">
        <v>46129</v>
      </c>
      <c r="B36" s="3" t="s">
        <v>3</v>
      </c>
      <c r="C36" s="3" t="s">
        <v>38</v>
      </c>
      <c r="D36" s="3" t="s">
        <v>45</v>
      </c>
      <c r="E36" s="3" t="s">
        <v>52</v>
      </c>
      <c r="F36" s="3">
        <v>43</v>
      </c>
      <c r="H36" s="2">
        <v>46121</v>
      </c>
      <c r="I36" s="3" t="s">
        <v>3</v>
      </c>
      <c r="J36" s="3" t="s">
        <v>32</v>
      </c>
      <c r="K36" s="3" t="s">
        <v>45</v>
      </c>
      <c r="L36" s="3" t="s">
        <v>53</v>
      </c>
      <c r="M36" s="3">
        <v>23</v>
      </c>
      <c r="R36" s="2">
        <v>46121</v>
      </c>
      <c r="S36" s="3" t="s">
        <v>3</v>
      </c>
      <c r="T36" s="3" t="s">
        <v>32</v>
      </c>
      <c r="U36" s="3" t="s">
        <v>45</v>
      </c>
      <c r="V36" s="3" t="s">
        <v>53</v>
      </c>
      <c r="W36" s="3">
        <v>23</v>
      </c>
    </row>
    <row r="37" spans="1:23" x14ac:dyDescent="0.25">
      <c r="H37" s="2">
        <v>46122</v>
      </c>
      <c r="I37" s="3" t="s">
        <v>3</v>
      </c>
      <c r="J37" s="3" t="s">
        <v>33</v>
      </c>
      <c r="K37" s="3" t="s">
        <v>44</v>
      </c>
      <c r="L37" s="3" t="s">
        <v>52</v>
      </c>
      <c r="M37" s="3">
        <v>25</v>
      </c>
      <c r="R37" s="2">
        <v>46122</v>
      </c>
      <c r="S37" s="3" t="s">
        <v>3</v>
      </c>
      <c r="T37" s="3" t="s">
        <v>33</v>
      </c>
      <c r="U37" s="3" t="s">
        <v>44</v>
      </c>
      <c r="V37" s="3" t="s">
        <v>52</v>
      </c>
      <c r="W37" s="3">
        <v>25</v>
      </c>
    </row>
    <row r="38" spans="1:23" x14ac:dyDescent="0.25">
      <c r="H38" s="2">
        <v>46125</v>
      </c>
      <c r="I38" s="3" t="s">
        <v>3</v>
      </c>
      <c r="J38" s="3" t="s">
        <v>34</v>
      </c>
      <c r="K38" s="3" t="s">
        <v>41</v>
      </c>
      <c r="L38" s="3" t="s">
        <v>48</v>
      </c>
      <c r="M38" s="3">
        <v>24</v>
      </c>
      <c r="R38" s="2">
        <v>46125</v>
      </c>
      <c r="S38" s="3" t="s">
        <v>3</v>
      </c>
      <c r="T38" s="3" t="s">
        <v>34</v>
      </c>
      <c r="U38" s="3" t="s">
        <v>41</v>
      </c>
      <c r="V38" s="3" t="s">
        <v>48</v>
      </c>
      <c r="W38" s="3">
        <v>24</v>
      </c>
    </row>
    <row r="39" spans="1:23" x14ac:dyDescent="0.25">
      <c r="H39" s="2">
        <v>46126</v>
      </c>
      <c r="I39" s="3" t="s">
        <v>3</v>
      </c>
      <c r="J39" s="3" t="s">
        <v>35</v>
      </c>
      <c r="K39" s="3" t="s">
        <v>40</v>
      </c>
      <c r="L39" s="3" t="s">
        <v>49</v>
      </c>
      <c r="M39" s="3">
        <v>46</v>
      </c>
      <c r="R39" s="2">
        <v>46126</v>
      </c>
      <c r="S39" s="3" t="s">
        <v>3</v>
      </c>
      <c r="T39" s="3" t="s">
        <v>35</v>
      </c>
      <c r="U39" s="3" t="s">
        <v>40</v>
      </c>
      <c r="V39" s="3" t="s">
        <v>49</v>
      </c>
      <c r="W39" s="3">
        <v>46</v>
      </c>
    </row>
    <row r="40" spans="1:23" x14ac:dyDescent="0.25">
      <c r="H40" s="2">
        <v>46127</v>
      </c>
      <c r="I40" s="3" t="s">
        <v>3</v>
      </c>
      <c r="J40" s="3" t="s">
        <v>36</v>
      </c>
      <c r="K40" s="3" t="s">
        <v>41</v>
      </c>
      <c r="L40" s="3" t="s">
        <v>50</v>
      </c>
      <c r="M40" s="3">
        <v>63</v>
      </c>
      <c r="R40" s="2">
        <v>46127</v>
      </c>
      <c r="S40" s="3" t="s">
        <v>3</v>
      </c>
      <c r="T40" s="3" t="s">
        <v>36</v>
      </c>
      <c r="U40" s="3" t="s">
        <v>41</v>
      </c>
      <c r="V40" s="3" t="s">
        <v>50</v>
      </c>
      <c r="W40" s="3">
        <v>63</v>
      </c>
    </row>
    <row r="41" spans="1:23" x14ac:dyDescent="0.25">
      <c r="H41" s="2">
        <v>46128</v>
      </c>
      <c r="I41" s="3" t="s">
        <v>3</v>
      </c>
      <c r="J41" s="3" t="s">
        <v>37</v>
      </c>
      <c r="K41" s="3" t="s">
        <v>44</v>
      </c>
      <c r="L41" s="3" t="s">
        <v>51</v>
      </c>
      <c r="M41" s="3">
        <v>2</v>
      </c>
      <c r="R41" s="2">
        <v>46128</v>
      </c>
      <c r="S41" s="3" t="s">
        <v>3</v>
      </c>
      <c r="T41" s="3" t="s">
        <v>37</v>
      </c>
      <c r="U41" s="3" t="s">
        <v>44</v>
      </c>
      <c r="V41" s="3" t="s">
        <v>51</v>
      </c>
      <c r="W41" s="3">
        <v>2</v>
      </c>
    </row>
    <row r="42" spans="1:23" x14ac:dyDescent="0.25">
      <c r="H42" s="2">
        <v>46129</v>
      </c>
      <c r="I42" s="3" t="s">
        <v>3</v>
      </c>
      <c r="J42" s="3" t="s">
        <v>38</v>
      </c>
      <c r="K42" s="3" t="s">
        <v>45</v>
      </c>
      <c r="L42" s="3" t="s">
        <v>52</v>
      </c>
      <c r="M42" s="3">
        <v>43</v>
      </c>
      <c r="R42" s="2">
        <v>46129</v>
      </c>
      <c r="S42" s="3" t="s">
        <v>3</v>
      </c>
      <c r="T42" s="3" t="s">
        <v>38</v>
      </c>
      <c r="U42" s="3" t="s">
        <v>45</v>
      </c>
      <c r="V42" s="3" t="s">
        <v>52</v>
      </c>
      <c r="W42" s="3">
        <v>43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E86A-9767-4F01-BCCD-9872A3EC86DB}">
  <sheetPr codeName="Sheet2"/>
  <dimension ref="A1:T42"/>
  <sheetViews>
    <sheetView workbookViewId="0">
      <selection activeCell="I5" sqref="I5"/>
    </sheetView>
  </sheetViews>
  <sheetFormatPr defaultRowHeight="15" x14ac:dyDescent="0.25"/>
  <cols>
    <col min="1" max="1" width="12.7109375" customWidth="1"/>
    <col min="2" max="2" width="10" customWidth="1"/>
    <col min="3" max="3" width="13.7109375" customWidth="1"/>
    <col min="4" max="4" width="11.140625" customWidth="1"/>
    <col min="5" max="5" width="11.85546875" customWidth="1"/>
    <col min="6" max="6" width="12.28515625" customWidth="1"/>
    <col min="8" max="8" width="12.7109375" customWidth="1"/>
    <col min="9" max="9" width="10" customWidth="1"/>
    <col min="10" max="10" width="13.7109375" customWidth="1"/>
    <col min="11" max="11" width="11.140625" customWidth="1"/>
    <col min="12" max="12" width="11.85546875" customWidth="1"/>
    <col min="13" max="13" width="12.28515625" customWidth="1"/>
    <col min="15" max="15" width="8.28515625" customWidth="1"/>
    <col min="18" max="18" width="10.7109375" customWidth="1"/>
    <col min="19" max="19" width="10" customWidth="1"/>
    <col min="20" max="20" width="12.42578125" customWidth="1"/>
  </cols>
  <sheetData>
    <row r="1" spans="1:20" ht="18.75" x14ac:dyDescent="0.3">
      <c r="A1" s="1" t="s">
        <v>0</v>
      </c>
      <c r="B1" s="1" t="s">
        <v>1</v>
      </c>
      <c r="C1" s="1" t="s">
        <v>2</v>
      </c>
      <c r="D1" s="1" t="s">
        <v>39</v>
      </c>
      <c r="E1" s="1" t="s">
        <v>47</v>
      </c>
      <c r="F1" s="1" t="s">
        <v>55</v>
      </c>
      <c r="K1" s="1"/>
      <c r="L1" s="1"/>
      <c r="M1" s="1"/>
    </row>
    <row r="2" spans="1:20" x14ac:dyDescent="0.25">
      <c r="A2" s="2">
        <v>46083</v>
      </c>
      <c r="B2" s="3" t="s">
        <v>3</v>
      </c>
      <c r="C2" s="3" t="s">
        <v>4</v>
      </c>
      <c r="D2" s="3" t="s">
        <v>40</v>
      </c>
      <c r="E2" s="3" t="s">
        <v>48</v>
      </c>
      <c r="F2" s="3">
        <v>21</v>
      </c>
      <c r="K2" s="3"/>
      <c r="L2" s="3"/>
      <c r="M2" s="3"/>
    </row>
    <row r="3" spans="1:20" x14ac:dyDescent="0.25">
      <c r="A3" s="2">
        <v>46084</v>
      </c>
      <c r="B3" s="3" t="s">
        <v>3</v>
      </c>
      <c r="C3" s="3" t="s">
        <v>5</v>
      </c>
      <c r="D3" s="3" t="s">
        <v>41</v>
      </c>
      <c r="E3" s="3" t="s">
        <v>49</v>
      </c>
      <c r="F3" s="3">
        <v>14</v>
      </c>
      <c r="K3" s="3"/>
      <c r="L3" s="3"/>
      <c r="M3" s="3"/>
    </row>
    <row r="4" spans="1:20" x14ac:dyDescent="0.25">
      <c r="A4" s="2">
        <v>46085</v>
      </c>
      <c r="B4" s="3" t="s">
        <v>3</v>
      </c>
      <c r="C4" s="3" t="s">
        <v>6</v>
      </c>
      <c r="D4" s="3" t="s">
        <v>42</v>
      </c>
      <c r="E4" s="3" t="s">
        <v>50</v>
      </c>
      <c r="F4" s="3">
        <v>22</v>
      </c>
      <c r="K4" s="3"/>
      <c r="L4" s="3"/>
      <c r="M4" s="3"/>
    </row>
    <row r="5" spans="1:20" ht="32.25" customHeight="1" x14ac:dyDescent="0.25">
      <c r="A5" s="2">
        <v>46086</v>
      </c>
      <c r="B5" s="3" t="s">
        <v>3</v>
      </c>
      <c r="C5" s="3" t="s">
        <v>7</v>
      </c>
      <c r="D5" s="3" t="s">
        <v>43</v>
      </c>
      <c r="E5" s="3" t="s">
        <v>51</v>
      </c>
      <c r="F5" s="3">
        <v>14</v>
      </c>
      <c r="K5" s="3"/>
      <c r="L5" s="3"/>
      <c r="M5" s="3"/>
    </row>
    <row r="6" spans="1:20" x14ac:dyDescent="0.25">
      <c r="A6" s="2">
        <v>46087</v>
      </c>
      <c r="B6" s="3" t="s">
        <v>3</v>
      </c>
      <c r="C6" s="3" t="s">
        <v>8</v>
      </c>
      <c r="D6" s="3" t="s">
        <v>44</v>
      </c>
      <c r="E6" s="3" t="s">
        <v>52</v>
      </c>
      <c r="F6" s="3">
        <v>25</v>
      </c>
      <c r="K6" s="4"/>
      <c r="L6" s="4"/>
      <c r="M6" s="4"/>
    </row>
    <row r="7" spans="1:20" ht="18.75" x14ac:dyDescent="0.3">
      <c r="A7" s="2">
        <v>46090</v>
      </c>
      <c r="B7" s="3" t="s">
        <v>3</v>
      </c>
      <c r="C7" s="3" t="s">
        <v>9</v>
      </c>
      <c r="D7" s="3" t="s">
        <v>45</v>
      </c>
      <c r="E7" s="3" t="s">
        <v>53</v>
      </c>
      <c r="F7" s="3">
        <v>24</v>
      </c>
      <c r="H7" s="1" t="s">
        <v>0</v>
      </c>
      <c r="I7" s="1" t="s">
        <v>1</v>
      </c>
      <c r="J7" s="1" t="s">
        <v>2</v>
      </c>
      <c r="K7" s="1" t="s">
        <v>39</v>
      </c>
      <c r="L7" s="1" t="s">
        <v>47</v>
      </c>
      <c r="M7" s="1" t="s">
        <v>55</v>
      </c>
      <c r="R7" s="1" t="s">
        <v>47</v>
      </c>
      <c r="S7" s="1" t="s">
        <v>56</v>
      </c>
      <c r="T7" s="1" t="s">
        <v>55</v>
      </c>
    </row>
    <row r="8" spans="1:20" x14ac:dyDescent="0.25">
      <c r="A8" s="2">
        <v>46091</v>
      </c>
      <c r="B8" s="3" t="s">
        <v>3</v>
      </c>
      <c r="C8" s="3" t="s">
        <v>10</v>
      </c>
      <c r="D8" s="3" t="s">
        <v>46</v>
      </c>
      <c r="E8" s="3" t="s">
        <v>54</v>
      </c>
      <c r="F8" s="3">
        <v>38</v>
      </c>
      <c r="H8" s="2">
        <v>46083</v>
      </c>
      <c r="I8" s="3" t="s">
        <v>3</v>
      </c>
      <c r="J8" s="3" t="s">
        <v>4</v>
      </c>
      <c r="K8" s="3" t="s">
        <v>40</v>
      </c>
      <c r="L8" s="3" t="s">
        <v>48</v>
      </c>
      <c r="M8" s="3">
        <v>21</v>
      </c>
      <c r="R8" s="3" t="s">
        <v>48</v>
      </c>
      <c r="S8" s="3">
        <f>COUNTIF(L:L,R8)</f>
        <v>5</v>
      </c>
      <c r="T8" s="3">
        <f>SUMIFS(M:M,L:L,R8)</f>
        <v>208</v>
      </c>
    </row>
    <row r="9" spans="1:20" x14ac:dyDescent="0.25">
      <c r="A9" s="2">
        <v>46092</v>
      </c>
      <c r="B9" s="3" t="s">
        <v>3</v>
      </c>
      <c r="C9" s="3" t="s">
        <v>11</v>
      </c>
      <c r="D9" s="3" t="s">
        <v>40</v>
      </c>
      <c r="E9" s="3" t="s">
        <v>53</v>
      </c>
      <c r="F9" s="3">
        <v>19</v>
      </c>
      <c r="H9" s="2">
        <v>46084</v>
      </c>
      <c r="I9" s="3" t="s">
        <v>3</v>
      </c>
      <c r="J9" s="3" t="s">
        <v>5</v>
      </c>
      <c r="K9" s="3" t="s">
        <v>41</v>
      </c>
      <c r="L9" s="3" t="s">
        <v>49</v>
      </c>
      <c r="M9" s="3">
        <v>14</v>
      </c>
      <c r="R9" s="3" t="s">
        <v>49</v>
      </c>
      <c r="S9" s="3">
        <f t="shared" ref="S9:S14" si="0">COUNTIF(L:L,R9)</f>
        <v>6</v>
      </c>
      <c r="T9" s="3">
        <f t="shared" ref="T9:T14" si="1">SUMIFS(M:M,L:L,R9)</f>
        <v>247</v>
      </c>
    </row>
    <row r="10" spans="1:20" x14ac:dyDescent="0.25">
      <c r="A10" s="2">
        <v>46093</v>
      </c>
      <c r="B10" s="3" t="s">
        <v>3</v>
      </c>
      <c r="C10" s="3" t="s">
        <v>12</v>
      </c>
      <c r="D10" s="3" t="s">
        <v>40</v>
      </c>
      <c r="E10" s="3" t="s">
        <v>54</v>
      </c>
      <c r="F10" s="3">
        <v>12</v>
      </c>
      <c r="H10" s="2">
        <v>46085</v>
      </c>
      <c r="I10" s="3" t="s">
        <v>3</v>
      </c>
      <c r="J10" s="3" t="s">
        <v>6</v>
      </c>
      <c r="K10" s="3" t="s">
        <v>42</v>
      </c>
      <c r="L10" s="3" t="s">
        <v>50</v>
      </c>
      <c r="M10" s="3">
        <v>22</v>
      </c>
      <c r="R10" s="3" t="s">
        <v>50</v>
      </c>
      <c r="S10" s="3">
        <f t="shared" si="0"/>
        <v>4</v>
      </c>
      <c r="T10" s="3">
        <f t="shared" si="1"/>
        <v>194</v>
      </c>
    </row>
    <row r="11" spans="1:20" ht="32.25" customHeight="1" x14ac:dyDescent="0.25">
      <c r="A11" s="2">
        <v>46094</v>
      </c>
      <c r="B11" s="3" t="s">
        <v>3</v>
      </c>
      <c r="C11" s="3" t="s">
        <v>13</v>
      </c>
      <c r="D11" s="3" t="s">
        <v>41</v>
      </c>
      <c r="E11" s="3" t="s">
        <v>48</v>
      </c>
      <c r="F11" s="3">
        <v>54</v>
      </c>
      <c r="H11" s="2">
        <v>46086</v>
      </c>
      <c r="I11" s="3" t="s">
        <v>3</v>
      </c>
      <c r="J11" s="3" t="s">
        <v>7</v>
      </c>
      <c r="K11" s="3" t="s">
        <v>43</v>
      </c>
      <c r="L11" s="3" t="s">
        <v>51</v>
      </c>
      <c r="M11" s="3">
        <v>14</v>
      </c>
      <c r="R11" s="3" t="s">
        <v>51</v>
      </c>
      <c r="S11" s="3">
        <f t="shared" si="0"/>
        <v>4</v>
      </c>
      <c r="T11" s="3">
        <f t="shared" si="1"/>
        <v>124</v>
      </c>
    </row>
    <row r="12" spans="1:20" x14ac:dyDescent="0.25">
      <c r="A12" s="2">
        <v>46097</v>
      </c>
      <c r="B12" s="3" t="s">
        <v>3</v>
      </c>
      <c r="C12" s="3" t="s">
        <v>14</v>
      </c>
      <c r="D12" s="3" t="s">
        <v>42</v>
      </c>
      <c r="E12" s="3" t="s">
        <v>49</v>
      </c>
      <c r="F12" s="3">
        <v>24</v>
      </c>
      <c r="H12" s="2">
        <v>46087</v>
      </c>
      <c r="I12" s="3" t="s">
        <v>3</v>
      </c>
      <c r="J12" s="3" t="s">
        <v>8</v>
      </c>
      <c r="K12" s="3" t="s">
        <v>44</v>
      </c>
      <c r="L12" s="3" t="s">
        <v>52</v>
      </c>
      <c r="M12" s="3">
        <v>25</v>
      </c>
      <c r="R12" s="3" t="s">
        <v>52</v>
      </c>
      <c r="S12" s="3">
        <f t="shared" si="0"/>
        <v>6</v>
      </c>
      <c r="T12" s="3">
        <f t="shared" si="1"/>
        <v>242</v>
      </c>
    </row>
    <row r="13" spans="1:20" x14ac:dyDescent="0.25">
      <c r="A13" s="2">
        <v>46098</v>
      </c>
      <c r="B13" s="3" t="s">
        <v>3</v>
      </c>
      <c r="C13" s="3" t="s">
        <v>15</v>
      </c>
      <c r="D13" s="3" t="s">
        <v>42</v>
      </c>
      <c r="E13" s="3" t="s">
        <v>48</v>
      </c>
      <c r="F13" s="3">
        <v>67</v>
      </c>
      <c r="H13" s="2">
        <v>46090</v>
      </c>
      <c r="I13" s="3" t="s">
        <v>3</v>
      </c>
      <c r="J13" s="3" t="s">
        <v>9</v>
      </c>
      <c r="K13" s="3" t="s">
        <v>45</v>
      </c>
      <c r="L13" s="3" t="s">
        <v>53</v>
      </c>
      <c r="M13" s="3">
        <v>24</v>
      </c>
      <c r="R13" s="3" t="s">
        <v>53</v>
      </c>
      <c r="S13" s="3">
        <f t="shared" si="0"/>
        <v>6</v>
      </c>
      <c r="T13" s="3">
        <f t="shared" si="1"/>
        <v>181</v>
      </c>
    </row>
    <row r="14" spans="1:20" x14ac:dyDescent="0.25">
      <c r="A14" s="2">
        <v>46099</v>
      </c>
      <c r="B14" s="3" t="s">
        <v>3</v>
      </c>
      <c r="C14" s="3" t="s">
        <v>16</v>
      </c>
      <c r="D14" s="3" t="s">
        <v>40</v>
      </c>
      <c r="E14" s="3" t="s">
        <v>49</v>
      </c>
      <c r="F14" s="3">
        <v>68</v>
      </c>
      <c r="H14" s="2">
        <v>46091</v>
      </c>
      <c r="I14" s="3" t="s">
        <v>3</v>
      </c>
      <c r="J14" s="3" t="s">
        <v>10</v>
      </c>
      <c r="K14" s="3" t="s">
        <v>46</v>
      </c>
      <c r="L14" s="3" t="s">
        <v>54</v>
      </c>
      <c r="M14" s="3">
        <v>38</v>
      </c>
      <c r="R14" s="3" t="s">
        <v>54</v>
      </c>
      <c r="S14" s="3">
        <f t="shared" si="0"/>
        <v>4</v>
      </c>
      <c r="T14" s="3">
        <f t="shared" si="1"/>
        <v>93</v>
      </c>
    </row>
    <row r="15" spans="1:20" x14ac:dyDescent="0.25">
      <c r="A15" s="2">
        <v>46100</v>
      </c>
      <c r="B15" s="3" t="s">
        <v>3</v>
      </c>
      <c r="C15" s="3" t="s">
        <v>17</v>
      </c>
      <c r="D15" s="3" t="s">
        <v>43</v>
      </c>
      <c r="E15" s="3" t="s">
        <v>50</v>
      </c>
      <c r="F15" s="3">
        <v>45</v>
      </c>
      <c r="H15" s="2">
        <v>46092</v>
      </c>
      <c r="I15" s="3" t="s">
        <v>3</v>
      </c>
      <c r="J15" s="3" t="s">
        <v>11</v>
      </c>
      <c r="K15" s="3" t="s">
        <v>40</v>
      </c>
      <c r="L15" s="3" t="s">
        <v>53</v>
      </c>
      <c r="M15" s="3">
        <v>19</v>
      </c>
    </row>
    <row r="16" spans="1:20" x14ac:dyDescent="0.25">
      <c r="A16" s="2">
        <v>46101</v>
      </c>
      <c r="B16" s="3" t="s">
        <v>3</v>
      </c>
      <c r="C16" s="3" t="s">
        <v>18</v>
      </c>
      <c r="D16" s="3" t="s">
        <v>44</v>
      </c>
      <c r="E16" s="3" t="s">
        <v>51</v>
      </c>
      <c r="F16" s="3">
        <v>34</v>
      </c>
      <c r="H16" s="2">
        <v>46093</v>
      </c>
      <c r="I16" s="3" t="s">
        <v>3</v>
      </c>
      <c r="J16" s="3" t="s">
        <v>12</v>
      </c>
      <c r="K16" s="3" t="s">
        <v>40</v>
      </c>
      <c r="L16" s="3" t="s">
        <v>54</v>
      </c>
      <c r="M16" s="3">
        <v>12</v>
      </c>
    </row>
    <row r="17" spans="1:13" x14ac:dyDescent="0.25">
      <c r="A17" s="2">
        <v>46104</v>
      </c>
      <c r="B17" s="3" t="s">
        <v>3</v>
      </c>
      <c r="C17" s="3" t="s">
        <v>19</v>
      </c>
      <c r="D17" s="3" t="s">
        <v>45</v>
      </c>
      <c r="E17" s="3" t="s">
        <v>52</v>
      </c>
      <c r="F17" s="3">
        <v>9</v>
      </c>
      <c r="H17" s="2">
        <v>46094</v>
      </c>
      <c r="I17" s="3" t="s">
        <v>3</v>
      </c>
      <c r="J17" s="3" t="s">
        <v>13</v>
      </c>
      <c r="K17" s="3" t="s">
        <v>41</v>
      </c>
      <c r="L17" s="3" t="s">
        <v>48</v>
      </c>
      <c r="M17" s="3">
        <v>54</v>
      </c>
    </row>
    <row r="18" spans="1:13" x14ac:dyDescent="0.25">
      <c r="A18" s="2">
        <v>46105</v>
      </c>
      <c r="B18" s="3" t="s">
        <v>3</v>
      </c>
      <c r="C18" s="3" t="s">
        <v>20</v>
      </c>
      <c r="D18" s="3" t="s">
        <v>46</v>
      </c>
      <c r="E18" s="3" t="s">
        <v>53</v>
      </c>
      <c r="F18" s="3">
        <v>49</v>
      </c>
      <c r="H18" s="2">
        <v>46097</v>
      </c>
      <c r="I18" s="3" t="s">
        <v>3</v>
      </c>
      <c r="J18" s="3" t="s">
        <v>14</v>
      </c>
      <c r="K18" s="3" t="s">
        <v>42</v>
      </c>
      <c r="L18" s="3" t="s">
        <v>49</v>
      </c>
      <c r="M18" s="3">
        <v>24</v>
      </c>
    </row>
    <row r="19" spans="1:13" x14ac:dyDescent="0.25">
      <c r="A19" s="2">
        <v>46106</v>
      </c>
      <c r="B19" s="3" t="s">
        <v>3</v>
      </c>
      <c r="C19" s="3" t="s">
        <v>21</v>
      </c>
      <c r="D19" s="3" t="s">
        <v>43</v>
      </c>
      <c r="E19" s="3" t="s">
        <v>54</v>
      </c>
      <c r="F19" s="3">
        <v>30</v>
      </c>
      <c r="H19" s="2">
        <v>46098</v>
      </c>
      <c r="I19" s="3" t="s">
        <v>3</v>
      </c>
      <c r="J19" s="3" t="s">
        <v>15</v>
      </c>
      <c r="K19" s="3" t="s">
        <v>42</v>
      </c>
      <c r="L19" s="3" t="s">
        <v>48</v>
      </c>
      <c r="M19" s="3">
        <v>67</v>
      </c>
    </row>
    <row r="20" spans="1:13" x14ac:dyDescent="0.25">
      <c r="A20" s="2">
        <v>46107</v>
      </c>
      <c r="B20" s="3" t="s">
        <v>3</v>
      </c>
      <c r="C20" s="3" t="s">
        <v>22</v>
      </c>
      <c r="D20" s="3" t="s">
        <v>41</v>
      </c>
      <c r="E20" s="3" t="s">
        <v>52</v>
      </c>
      <c r="F20" s="3">
        <v>46</v>
      </c>
      <c r="H20" s="2">
        <v>46099</v>
      </c>
      <c r="I20" s="3" t="s">
        <v>3</v>
      </c>
      <c r="J20" s="3" t="s">
        <v>16</v>
      </c>
      <c r="K20" s="3" t="s">
        <v>40</v>
      </c>
      <c r="L20" s="3" t="s">
        <v>49</v>
      </c>
      <c r="M20" s="3">
        <v>68</v>
      </c>
    </row>
    <row r="21" spans="1:13" x14ac:dyDescent="0.25">
      <c r="A21" s="2">
        <v>46108</v>
      </c>
      <c r="B21" s="3" t="s">
        <v>3</v>
      </c>
      <c r="C21" s="3" t="s">
        <v>23</v>
      </c>
      <c r="D21" s="3" t="s">
        <v>40</v>
      </c>
      <c r="E21" s="3" t="s">
        <v>53</v>
      </c>
      <c r="F21" s="3">
        <v>24</v>
      </c>
      <c r="H21" s="2">
        <v>46100</v>
      </c>
      <c r="I21" s="3" t="s">
        <v>3</v>
      </c>
      <c r="J21" s="3" t="s">
        <v>17</v>
      </c>
      <c r="K21" s="3" t="s">
        <v>43</v>
      </c>
      <c r="L21" s="3" t="s">
        <v>50</v>
      </c>
      <c r="M21" s="3">
        <v>45</v>
      </c>
    </row>
    <row r="22" spans="1:13" x14ac:dyDescent="0.25">
      <c r="A22" s="2">
        <v>46111</v>
      </c>
      <c r="B22" s="3" t="s">
        <v>3</v>
      </c>
      <c r="C22" s="3" t="s">
        <v>24</v>
      </c>
      <c r="D22" s="3" t="s">
        <v>42</v>
      </c>
      <c r="E22" s="3" t="s">
        <v>49</v>
      </c>
      <c r="F22" s="3">
        <v>31</v>
      </c>
      <c r="H22" s="2">
        <v>46101</v>
      </c>
      <c r="I22" s="3" t="s">
        <v>3</v>
      </c>
      <c r="J22" s="3" t="s">
        <v>18</v>
      </c>
      <c r="K22" s="3" t="s">
        <v>44</v>
      </c>
      <c r="L22" s="3" t="s">
        <v>51</v>
      </c>
      <c r="M22" s="3">
        <v>34</v>
      </c>
    </row>
    <row r="23" spans="1:13" x14ac:dyDescent="0.25">
      <c r="A23" s="2">
        <v>46112</v>
      </c>
      <c r="B23" s="3" t="s">
        <v>3</v>
      </c>
      <c r="C23" s="3" t="s">
        <v>25</v>
      </c>
      <c r="D23" s="3" t="s">
        <v>42</v>
      </c>
      <c r="E23" s="3" t="s">
        <v>48</v>
      </c>
      <c r="F23" s="3">
        <v>42</v>
      </c>
      <c r="H23" s="2">
        <v>46104</v>
      </c>
      <c r="I23" s="3" t="s">
        <v>3</v>
      </c>
      <c r="J23" s="3" t="s">
        <v>19</v>
      </c>
      <c r="K23" s="3" t="s">
        <v>45</v>
      </c>
      <c r="L23" s="3" t="s">
        <v>52</v>
      </c>
      <c r="M23" s="3">
        <v>9</v>
      </c>
    </row>
    <row r="24" spans="1:13" x14ac:dyDescent="0.25">
      <c r="A24" s="2">
        <v>46113</v>
      </c>
      <c r="B24" s="3" t="s">
        <v>3</v>
      </c>
      <c r="C24" s="3" t="s">
        <v>26</v>
      </c>
      <c r="D24" s="3" t="s">
        <v>44</v>
      </c>
      <c r="E24" s="3" t="s">
        <v>49</v>
      </c>
      <c r="F24" s="3">
        <v>64</v>
      </c>
      <c r="H24" s="2">
        <v>46105</v>
      </c>
      <c r="I24" s="3" t="s">
        <v>3</v>
      </c>
      <c r="J24" s="3" t="s">
        <v>20</v>
      </c>
      <c r="K24" s="3" t="s">
        <v>46</v>
      </c>
      <c r="L24" s="3" t="s">
        <v>53</v>
      </c>
      <c r="M24" s="3">
        <v>49</v>
      </c>
    </row>
    <row r="25" spans="1:13" x14ac:dyDescent="0.25">
      <c r="A25" s="2">
        <v>46114</v>
      </c>
      <c r="B25" s="3" t="s">
        <v>3</v>
      </c>
      <c r="C25" s="3" t="s">
        <v>27</v>
      </c>
      <c r="D25" s="3" t="s">
        <v>44</v>
      </c>
      <c r="E25" s="3" t="s">
        <v>50</v>
      </c>
      <c r="F25" s="3">
        <v>64</v>
      </c>
      <c r="H25" s="2">
        <v>46106</v>
      </c>
      <c r="I25" s="3" t="s">
        <v>3</v>
      </c>
      <c r="J25" s="3" t="s">
        <v>21</v>
      </c>
      <c r="K25" s="3" t="s">
        <v>43</v>
      </c>
      <c r="L25" s="3" t="s">
        <v>54</v>
      </c>
      <c r="M25" s="3">
        <v>30</v>
      </c>
    </row>
    <row r="26" spans="1:13" x14ac:dyDescent="0.25">
      <c r="A26" s="2">
        <v>46115</v>
      </c>
      <c r="B26" s="3" t="s">
        <v>3</v>
      </c>
      <c r="C26" s="3" t="s">
        <v>28</v>
      </c>
      <c r="D26" s="3" t="s">
        <v>45</v>
      </c>
      <c r="E26" s="3" t="s">
        <v>51</v>
      </c>
      <c r="F26" s="3">
        <v>74</v>
      </c>
      <c r="H26" s="2">
        <v>46107</v>
      </c>
      <c r="I26" s="3" t="s">
        <v>3</v>
      </c>
      <c r="J26" s="3" t="s">
        <v>22</v>
      </c>
      <c r="K26" s="3" t="s">
        <v>41</v>
      </c>
      <c r="L26" s="3" t="s">
        <v>52</v>
      </c>
      <c r="M26" s="3">
        <v>46</v>
      </c>
    </row>
    <row r="27" spans="1:13" x14ac:dyDescent="0.25">
      <c r="A27" s="2">
        <v>46118</v>
      </c>
      <c r="B27" s="3" t="s">
        <v>3</v>
      </c>
      <c r="C27" s="3" t="s">
        <v>29</v>
      </c>
      <c r="D27" s="3" t="s">
        <v>40</v>
      </c>
      <c r="E27" s="3" t="s">
        <v>52</v>
      </c>
      <c r="F27" s="3">
        <v>94</v>
      </c>
      <c r="H27" s="2">
        <v>46108</v>
      </c>
      <c r="I27" s="3" t="s">
        <v>3</v>
      </c>
      <c r="J27" s="3" t="s">
        <v>23</v>
      </c>
      <c r="K27" s="3" t="s">
        <v>40</v>
      </c>
      <c r="L27" s="3" t="s">
        <v>53</v>
      </c>
      <c r="M27" s="3">
        <v>24</v>
      </c>
    </row>
    <row r="28" spans="1:13" x14ac:dyDescent="0.25">
      <c r="A28" s="2">
        <v>46119</v>
      </c>
      <c r="B28" s="3" t="s">
        <v>3</v>
      </c>
      <c r="C28" s="3" t="s">
        <v>30</v>
      </c>
      <c r="D28" s="3" t="s">
        <v>41</v>
      </c>
      <c r="E28" s="3" t="s">
        <v>53</v>
      </c>
      <c r="F28" s="3">
        <v>42</v>
      </c>
      <c r="H28" s="2">
        <v>46111</v>
      </c>
      <c r="I28" s="3" t="s">
        <v>3</v>
      </c>
      <c r="J28" s="3" t="s">
        <v>24</v>
      </c>
      <c r="K28" s="3" t="s">
        <v>42</v>
      </c>
      <c r="L28" s="3" t="s">
        <v>49</v>
      </c>
      <c r="M28" s="3">
        <v>31</v>
      </c>
    </row>
    <row r="29" spans="1:13" x14ac:dyDescent="0.25">
      <c r="A29" s="2">
        <v>46120</v>
      </c>
      <c r="B29" s="3" t="s">
        <v>3</v>
      </c>
      <c r="C29" s="3" t="s">
        <v>31</v>
      </c>
      <c r="D29" s="3" t="s">
        <v>43</v>
      </c>
      <c r="E29" s="3" t="s">
        <v>54</v>
      </c>
      <c r="F29" s="3">
        <v>13</v>
      </c>
      <c r="H29" s="2">
        <v>46112</v>
      </c>
      <c r="I29" s="3" t="s">
        <v>3</v>
      </c>
      <c r="J29" s="3" t="s">
        <v>25</v>
      </c>
      <c r="K29" s="3" t="s">
        <v>42</v>
      </c>
      <c r="L29" s="3" t="s">
        <v>48</v>
      </c>
      <c r="M29" s="3">
        <v>42</v>
      </c>
    </row>
    <row r="30" spans="1:13" x14ac:dyDescent="0.25">
      <c r="A30" s="2">
        <v>46121</v>
      </c>
      <c r="B30" s="3" t="s">
        <v>3</v>
      </c>
      <c r="C30" s="3" t="s">
        <v>32</v>
      </c>
      <c r="D30" s="3" t="s">
        <v>45</v>
      </c>
      <c r="E30" s="3" t="s">
        <v>53</v>
      </c>
      <c r="F30" s="3">
        <v>23</v>
      </c>
      <c r="H30" s="2">
        <v>46113</v>
      </c>
      <c r="I30" s="3" t="s">
        <v>3</v>
      </c>
      <c r="J30" s="3" t="s">
        <v>26</v>
      </c>
      <c r="K30" s="3" t="s">
        <v>44</v>
      </c>
      <c r="L30" s="3" t="s">
        <v>49</v>
      </c>
      <c r="M30" s="3">
        <v>64</v>
      </c>
    </row>
    <row r="31" spans="1:13" x14ac:dyDescent="0.25">
      <c r="A31" s="2">
        <v>46122</v>
      </c>
      <c r="B31" s="3" t="s">
        <v>3</v>
      </c>
      <c r="C31" s="3" t="s">
        <v>33</v>
      </c>
      <c r="D31" s="3" t="s">
        <v>44</v>
      </c>
      <c r="E31" s="3" t="s">
        <v>52</v>
      </c>
      <c r="F31" s="3">
        <v>25</v>
      </c>
      <c r="H31" s="2">
        <v>46114</v>
      </c>
      <c r="I31" s="3" t="s">
        <v>3</v>
      </c>
      <c r="J31" s="3" t="s">
        <v>27</v>
      </c>
      <c r="K31" s="3" t="s">
        <v>44</v>
      </c>
      <c r="L31" s="3" t="s">
        <v>50</v>
      </c>
      <c r="M31" s="3">
        <v>64</v>
      </c>
    </row>
    <row r="32" spans="1:13" x14ac:dyDescent="0.25">
      <c r="A32" s="2">
        <v>46125</v>
      </c>
      <c r="B32" s="3" t="s">
        <v>3</v>
      </c>
      <c r="C32" s="3" t="s">
        <v>34</v>
      </c>
      <c r="D32" s="3" t="s">
        <v>41</v>
      </c>
      <c r="E32" s="3" t="s">
        <v>48</v>
      </c>
      <c r="F32" s="3">
        <v>24</v>
      </c>
      <c r="H32" s="2">
        <v>46115</v>
      </c>
      <c r="I32" s="3" t="s">
        <v>3</v>
      </c>
      <c r="J32" s="3" t="s">
        <v>28</v>
      </c>
      <c r="K32" s="3" t="s">
        <v>45</v>
      </c>
      <c r="L32" s="3" t="s">
        <v>51</v>
      </c>
      <c r="M32" s="3">
        <v>74</v>
      </c>
    </row>
    <row r="33" spans="1:13" x14ac:dyDescent="0.25">
      <c r="A33" s="2">
        <v>46126</v>
      </c>
      <c r="B33" s="3" t="s">
        <v>3</v>
      </c>
      <c r="C33" s="3" t="s">
        <v>35</v>
      </c>
      <c r="D33" s="3" t="s">
        <v>40</v>
      </c>
      <c r="E33" s="3" t="s">
        <v>49</v>
      </c>
      <c r="F33" s="3">
        <v>46</v>
      </c>
      <c r="H33" s="2">
        <v>46118</v>
      </c>
      <c r="I33" s="3" t="s">
        <v>3</v>
      </c>
      <c r="J33" s="3" t="s">
        <v>29</v>
      </c>
      <c r="K33" s="3" t="s">
        <v>40</v>
      </c>
      <c r="L33" s="3" t="s">
        <v>52</v>
      </c>
      <c r="M33" s="3">
        <v>94</v>
      </c>
    </row>
    <row r="34" spans="1:13" x14ac:dyDescent="0.25">
      <c r="A34" s="2">
        <v>46127</v>
      </c>
      <c r="B34" s="3" t="s">
        <v>3</v>
      </c>
      <c r="C34" s="3" t="s">
        <v>36</v>
      </c>
      <c r="D34" s="3" t="s">
        <v>41</v>
      </c>
      <c r="E34" s="3" t="s">
        <v>50</v>
      </c>
      <c r="F34" s="3">
        <v>63</v>
      </c>
      <c r="H34" s="2">
        <v>46119</v>
      </c>
      <c r="I34" s="3" t="s">
        <v>3</v>
      </c>
      <c r="J34" s="3" t="s">
        <v>30</v>
      </c>
      <c r="K34" s="3" t="s">
        <v>41</v>
      </c>
      <c r="L34" s="3" t="s">
        <v>53</v>
      </c>
      <c r="M34" s="3">
        <v>42</v>
      </c>
    </row>
    <row r="35" spans="1:13" x14ac:dyDescent="0.25">
      <c r="A35" s="2">
        <v>46128</v>
      </c>
      <c r="B35" s="3" t="s">
        <v>3</v>
      </c>
      <c r="C35" s="3" t="s">
        <v>37</v>
      </c>
      <c r="D35" s="3" t="s">
        <v>44</v>
      </c>
      <c r="E35" s="3" t="s">
        <v>51</v>
      </c>
      <c r="F35" s="3">
        <v>2</v>
      </c>
      <c r="H35" s="2">
        <v>46120</v>
      </c>
      <c r="I35" s="3" t="s">
        <v>3</v>
      </c>
      <c r="J35" s="3" t="s">
        <v>31</v>
      </c>
      <c r="K35" s="3" t="s">
        <v>43</v>
      </c>
      <c r="L35" s="3" t="s">
        <v>54</v>
      </c>
      <c r="M35" s="3">
        <v>13</v>
      </c>
    </row>
    <row r="36" spans="1:13" x14ac:dyDescent="0.25">
      <c r="A36" s="2">
        <v>46129</v>
      </c>
      <c r="B36" s="3" t="s">
        <v>3</v>
      </c>
      <c r="C36" s="3" t="s">
        <v>38</v>
      </c>
      <c r="D36" s="3" t="s">
        <v>45</v>
      </c>
      <c r="E36" s="3" t="s">
        <v>52</v>
      </c>
      <c r="F36" s="3">
        <v>43</v>
      </c>
      <c r="H36" s="2">
        <v>46121</v>
      </c>
      <c r="I36" s="3" t="s">
        <v>3</v>
      </c>
      <c r="J36" s="3" t="s">
        <v>32</v>
      </c>
      <c r="K36" s="3" t="s">
        <v>45</v>
      </c>
      <c r="L36" s="3" t="s">
        <v>53</v>
      </c>
      <c r="M36" s="3">
        <v>23</v>
      </c>
    </row>
    <row r="37" spans="1:13" x14ac:dyDescent="0.25">
      <c r="H37" s="2">
        <v>46122</v>
      </c>
      <c r="I37" s="3" t="s">
        <v>3</v>
      </c>
      <c r="J37" s="3" t="s">
        <v>33</v>
      </c>
      <c r="K37" s="3" t="s">
        <v>44</v>
      </c>
      <c r="L37" s="3" t="s">
        <v>52</v>
      </c>
      <c r="M37" s="3">
        <v>25</v>
      </c>
    </row>
    <row r="38" spans="1:13" x14ac:dyDescent="0.25">
      <c r="H38" s="2">
        <v>46125</v>
      </c>
      <c r="I38" s="3" t="s">
        <v>3</v>
      </c>
      <c r="J38" s="3" t="s">
        <v>34</v>
      </c>
      <c r="K38" s="3" t="s">
        <v>41</v>
      </c>
      <c r="L38" s="3" t="s">
        <v>48</v>
      </c>
      <c r="M38" s="3">
        <v>24</v>
      </c>
    </row>
    <row r="39" spans="1:13" x14ac:dyDescent="0.25">
      <c r="H39" s="2">
        <v>46126</v>
      </c>
      <c r="I39" s="3" t="s">
        <v>3</v>
      </c>
      <c r="J39" s="3" t="s">
        <v>35</v>
      </c>
      <c r="K39" s="3" t="s">
        <v>40</v>
      </c>
      <c r="L39" s="3" t="s">
        <v>49</v>
      </c>
      <c r="M39" s="3">
        <v>46</v>
      </c>
    </row>
    <row r="40" spans="1:13" x14ac:dyDescent="0.25">
      <c r="H40" s="2">
        <v>46127</v>
      </c>
      <c r="I40" s="3" t="s">
        <v>3</v>
      </c>
      <c r="J40" s="3" t="s">
        <v>36</v>
      </c>
      <c r="K40" s="3" t="s">
        <v>41</v>
      </c>
      <c r="L40" s="3" t="s">
        <v>50</v>
      </c>
      <c r="M40" s="3">
        <v>63</v>
      </c>
    </row>
    <row r="41" spans="1:13" x14ac:dyDescent="0.25">
      <c r="H41" s="2">
        <v>46128</v>
      </c>
      <c r="I41" s="3" t="s">
        <v>3</v>
      </c>
      <c r="J41" s="3" t="s">
        <v>37</v>
      </c>
      <c r="K41" s="3" t="s">
        <v>44</v>
      </c>
      <c r="L41" s="3" t="s">
        <v>51</v>
      </c>
      <c r="M41" s="3">
        <v>2</v>
      </c>
    </row>
    <row r="42" spans="1:13" x14ac:dyDescent="0.25">
      <c r="H42" s="2">
        <v>46129</v>
      </c>
      <c r="I42" s="3" t="s">
        <v>3</v>
      </c>
      <c r="J42" s="3" t="s">
        <v>38</v>
      </c>
      <c r="K42" s="3" t="s">
        <v>45</v>
      </c>
      <c r="L42" s="3" t="s">
        <v>52</v>
      </c>
      <c r="M42" s="3">
        <v>43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2026-06-09T04:09:36Z</dcterms:created>
  <dcterms:modified xsi:type="dcterms:W3CDTF">2026-06-09T04:31:16Z</dcterms:modified>
</cp:coreProperties>
</file>