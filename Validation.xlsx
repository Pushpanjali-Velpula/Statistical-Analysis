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New folder\"/>
    </mc:Choice>
  </mc:AlternateContent>
  <xr:revisionPtr revIDLastSave="0" documentId="8_{3DFE54A0-5258-4A78-8264-2D85B315541E}" xr6:coauthVersionLast="47" xr6:coauthVersionMax="47" xr10:uidLastSave="{00000000-0000-0000-0000-000000000000}"/>
  <bookViews>
    <workbookView xWindow="-120" yWindow="-120" windowWidth="29040" windowHeight="15720" xr2:uid="{D8221A13-CF24-48A6-ACE8-39D3545DC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</calcChain>
</file>

<file path=xl/sharedStrings.xml><?xml version="1.0" encoding="utf-8"?>
<sst xmlns="http://schemas.openxmlformats.org/spreadsheetml/2006/main" count="202" uniqueCount="86">
  <si>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</si>
  <si>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</si>
  <si>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</si>
  <si>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</si>
  <si>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</si>
  <si>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</si>
  <si>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</si>
  <si>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</si>
  <si>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</si>
  <si>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</si>
  <si>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</si>
  <si>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</si>
  <si>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</si>
  <si>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</si>
  <si>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</si>
  <si>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</si>
  <si>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</si>
  <si>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</si>
  <si>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</si>
  <si>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</si>
  <si>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</si>
  <si>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</si>
  <si>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</si>
  <si>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</si>
  <si>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</si>
  <si>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</si>
  <si>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</si>
  <si>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</si>
  <si>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</si>
  <si>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</si>
  <si>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</si>
  <si>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</si>
  <si>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</si>
  <si>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</si>
  <si>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</si>
  <si>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</si>
  <si>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</si>
  <si>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</si>
  <si>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</si>
  <si>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</si>
  <si>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</si>
  <si>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</si>
  <si>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</si>
  <si>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</si>
  <si>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</si>
  <si>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</si>
  <si>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</si>
  <si>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</si>
  <si>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</si>
  <si>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Name</t>
  </si>
  <si>
    <t>James Hargrave</t>
  </si>
  <si>
    <t>David Gerasimov</t>
  </si>
  <si>
    <t>James</t>
  </si>
  <si>
    <t>Isabella</t>
  </si>
  <si>
    <t>Alexander</t>
  </si>
  <si>
    <t>Mia</t>
  </si>
  <si>
    <t>Liam</t>
  </si>
  <si>
    <t>Daniel</t>
  </si>
  <si>
    <t>William</t>
  </si>
  <si>
    <t>Grace</t>
  </si>
  <si>
    <t>Leo</t>
  </si>
  <si>
    <t>Ethan</t>
  </si>
  <si>
    <t>Ava</t>
  </si>
  <si>
    <t>Matthew</t>
  </si>
  <si>
    <t>Charlotte</t>
  </si>
  <si>
    <t>Amelia</t>
  </si>
  <si>
    <t>Olivia</t>
  </si>
  <si>
    <t>Benjamin</t>
  </si>
  <si>
    <t>Gabriel</t>
  </si>
  <si>
    <t>Henry</t>
  </si>
  <si>
    <t>Samuel</t>
  </si>
  <si>
    <t>Emma</t>
  </si>
  <si>
    <t>Michael</t>
  </si>
  <si>
    <t>Sophia</t>
  </si>
  <si>
    <t>David</t>
  </si>
  <si>
    <t>Harper</t>
  </si>
  <si>
    <t>Chloe</t>
  </si>
  <si>
    <t>Elijah</t>
  </si>
  <si>
    <t>Noah</t>
  </si>
  <si>
    <t>Aiden</t>
  </si>
  <si>
    <t>Jacob</t>
  </si>
  <si>
    <t>Lucas</t>
  </si>
  <si>
    <t>Address</t>
  </si>
  <si>
    <t>MITS , Angallu , Madanapalle , 517325</t>
  </si>
  <si>
    <t>Column1</t>
  </si>
  <si>
    <t>Surname2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</si>
</sst>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1">
    <xf numFmtId="0" fontId="0" fillId="0" borderId="0" xfId="0"/>
    <xf numFmtId="0" fontId="2" fillId="2" borderId="1" xfId="1" applyBorder="1" applyAlignment="1">
      <alignment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/>
    <xf numFmtId="0" fontId="0" fillId="3" borderId="0" xfId="0" applyFill="1" applyAlignment="1"/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5" xfId="1" applyBorder="1" applyAlignment="1">
      <alignment wrapText="1"/>
    </xf>
    <xf numFmtId="0" fontId="0" fillId="0" borderId="5" xfId="0" applyBorder="1"/>
    <xf numFmtId="0" fontId="0" fillId="0" borderId="5" xfId="0" applyBorder="1" applyAlignment="1"/>
  </cellXfs>
  <cellStyles count="2">
    <cellStyle name="Accent1" xfId="1" builtinId="29"/>
    <cellStyle name="Normal" xfId="0" builtinId="0"/>
  </cellStyles>
  <dxfs count="17"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420ED-A131-4ACF-9D10-8CC5BD854E57}" name="Table1" displayName="Table1" ref="A1:Q31" totalsRowShown="0" tableBorderDxfId="16">
  <autoFilter ref="A1:Q31" xr:uid="{994420ED-A131-4ACF-9D10-8CC5BD854E57}"/>
  <tableColumns count="17">
    <tableColumn id="1" xr3:uid="{A2722A08-3DF0-4803-AD2C-47736C1B30DD}" name="RowNumber" dataDxfId="15"/>
    <tableColumn id="2" xr3:uid="{52467ECD-6F34-4C04-9F8A-33F8188B22A0}" name="CustomerId" dataDxfId="14"/>
    <tableColumn id="3" xr3:uid="{26DB5386-1EAE-494E-8F75-54E60D1C07D1}" name="Surname" dataDxfId="13"/>
    <tableColumn id="4" xr3:uid="{9A2D70E9-30FE-4EC1-8F18-BBCF10009A4D}" name="CreditScore" dataDxfId="12"/>
    <tableColumn id="5" xr3:uid="{F63DD6E3-3EA6-4F20-B4E4-0BE8633E9256}" name="Geography" dataDxfId="11"/>
    <tableColumn id="6" xr3:uid="{87951C6A-CC92-401E-A2B6-F6C2148D9C18}" name="Gender" dataDxfId="10"/>
    <tableColumn id="7" xr3:uid="{27540BF8-98B0-4E19-A859-5332BB27CEC7}" name="Age" dataDxfId="9"/>
    <tableColumn id="8" xr3:uid="{6FF6AE2E-122F-4B39-BAF0-0A2609B64ABA}" name="Tenure" dataDxfId="8"/>
    <tableColumn id="9" xr3:uid="{50AF049A-4E10-4C71-B17C-2440B9EE8E7D}" name="Balance" dataDxfId="7"/>
    <tableColumn id="10" xr3:uid="{F274BCA9-79E6-400A-B3BA-00695379FECD}" name="NumOfProducts" dataDxfId="6"/>
    <tableColumn id="11" xr3:uid="{5DD31DBA-4A36-4B30-BD08-4C5D13DDD777}" name="HasCrCard" dataDxfId="5"/>
    <tableColumn id="12" xr3:uid="{E1D47661-F459-4960-9DA8-D58AD0C1F455}" name="IsActiveMember" dataDxfId="4"/>
    <tableColumn id="13" xr3:uid="{D0222429-7780-4CEA-BCFA-3077090E6BAC}" name="EstimatedSalary" dataDxfId="3"/>
    <tableColumn id="14" xr3:uid="{35DFA0CF-467F-4752-A7CF-501DA1C131D7}" name="Exited" dataDxfId="2"/>
    <tableColumn id="15" xr3:uid="{96E0DF55-C6DC-4E53-ADF6-8C70CF6A9871}" name="Column1" dataDxfId="1">
      <calculatedColumnFormula>M2/I2</calculatedColumnFormula>
    </tableColumn>
    <tableColumn id="16" xr3:uid="{D28E2273-F0E5-484E-8D28-83E77B348C56}" name="Name" dataDxfId="0"/>
    <tableColumn id="17" xr3:uid="{C8191FB8-FA64-4BAC-AD8B-85B79E342E4E}" name="Surname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83F1-2A7C-449A-9A1A-297B49085990}">
  <dimension ref="A1:W31"/>
  <sheetViews>
    <sheetView tabSelected="1" workbookViewId="0">
      <selection activeCell="T23" sqref="T23"/>
    </sheetView>
  </sheetViews>
  <sheetFormatPr defaultRowHeight="15" x14ac:dyDescent="0.25"/>
  <cols>
    <col min="1" max="1" width="14.28515625" customWidth="1"/>
    <col min="2" max="2" width="13.42578125" customWidth="1"/>
    <col min="3" max="3" width="11" customWidth="1"/>
    <col min="4" max="4" width="13.42578125" customWidth="1"/>
    <col min="5" max="5" width="12.7109375" customWidth="1"/>
    <col min="6" max="6" width="9.7109375" customWidth="1"/>
    <col min="8" max="8" width="9.42578125" customWidth="1"/>
    <col min="9" max="9" width="10" customWidth="1"/>
    <col min="10" max="10" width="17.28515625" customWidth="1"/>
    <col min="11" max="11" width="12.140625" customWidth="1"/>
    <col min="12" max="12" width="17.7109375" customWidth="1"/>
    <col min="13" max="13" width="17.28515625" customWidth="1"/>
    <col min="15" max="15" width="11" customWidth="1"/>
    <col min="16" max="16" width="17.140625" customWidth="1"/>
    <col min="17" max="17" width="12" customWidth="1"/>
  </cols>
  <sheetData>
    <row r="1" spans="1:23" x14ac:dyDescent="0.25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1" t="s">
        <v>84</v>
      </c>
      <c r="P1" s="12" t="s">
        <v>49</v>
      </c>
      <c r="Q1" s="13" t="s">
        <v>85</v>
      </c>
      <c r="R1" s="13"/>
      <c r="S1" s="13"/>
      <c r="T1" s="13" t="s">
        <v>82</v>
      </c>
      <c r="U1" s="13"/>
      <c r="V1" s="13" t="s">
        <v>4</v>
      </c>
    </row>
    <row r="2" spans="1:23" ht="75" x14ac:dyDescent="0.25">
      <c r="A2" s="19">
        <v>1</v>
      </c>
      <c r="B2" s="2">
        <v>15634602</v>
      </c>
      <c r="C2" s="2" t="s">
        <v>14</v>
      </c>
      <c r="D2" s="2">
        <v>619</v>
      </c>
      <c r="E2" s="2" t="s">
        <v>15</v>
      </c>
      <c r="F2" s="2" t="s">
        <v>16</v>
      </c>
      <c r="G2" s="2">
        <v>42</v>
      </c>
      <c r="H2" s="2">
        <v>2</v>
      </c>
      <c r="I2" s="2">
        <v>0</v>
      </c>
      <c r="J2" s="2">
        <v>1</v>
      </c>
      <c r="K2" s="2">
        <v>1</v>
      </c>
      <c r="L2" s="2">
        <v>1</v>
      </c>
      <c r="M2" s="2">
        <v>101348.88</v>
      </c>
      <c r="N2" s="2">
        <v>1</v>
      </c>
      <c r="O2" s="10" t="e">
        <f>M2/I2</f>
        <v>#DIV/0!</v>
      </c>
      <c r="P2" s="4" t="s">
        <v>52</v>
      </c>
      <c r="Q2" t="s">
        <v>14</v>
      </c>
      <c r="S2" s="4"/>
      <c r="T2" s="4" t="s">
        <v>83</v>
      </c>
      <c r="U2" s="4"/>
      <c r="V2" s="2" t="s">
        <v>15</v>
      </c>
      <c r="W2" s="4"/>
    </row>
    <row r="3" spans="1:23" x14ac:dyDescent="0.25">
      <c r="A3" s="19">
        <v>2</v>
      </c>
      <c r="B3" s="2">
        <v>15647311</v>
      </c>
      <c r="C3" s="2" t="s">
        <v>17</v>
      </c>
      <c r="D3" s="2">
        <v>608</v>
      </c>
      <c r="E3" s="2" t="s">
        <v>18</v>
      </c>
      <c r="F3" s="2" t="s">
        <v>16</v>
      </c>
      <c r="G3" s="2">
        <v>41</v>
      </c>
      <c r="H3" s="2">
        <v>1</v>
      </c>
      <c r="I3" s="2">
        <v>83807.86</v>
      </c>
      <c r="J3" s="2">
        <v>1</v>
      </c>
      <c r="K3" s="2">
        <v>0</v>
      </c>
      <c r="L3" s="2">
        <v>1</v>
      </c>
      <c r="M3" s="2">
        <v>112542.58</v>
      </c>
      <c r="N3" s="2">
        <v>0</v>
      </c>
      <c r="O3" s="10">
        <f>M3/I3</f>
        <v>1.3428642611802759</v>
      </c>
      <c r="P3" s="3" t="s">
        <v>53</v>
      </c>
      <c r="Q3" t="s">
        <v>17</v>
      </c>
      <c r="V3" s="2" t="s">
        <v>18</v>
      </c>
    </row>
    <row r="4" spans="1:23" x14ac:dyDescent="0.25">
      <c r="A4" s="19">
        <v>3</v>
      </c>
      <c r="B4" s="2">
        <v>15619304</v>
      </c>
      <c r="C4" s="2" t="s">
        <v>19</v>
      </c>
      <c r="D4" s="2">
        <v>502</v>
      </c>
      <c r="E4" s="2" t="s">
        <v>15</v>
      </c>
      <c r="F4" s="2" t="s">
        <v>16</v>
      </c>
      <c r="G4" s="2">
        <v>42</v>
      </c>
      <c r="H4" s="2">
        <v>8</v>
      </c>
      <c r="I4" s="2">
        <v>159660.79999999999</v>
      </c>
      <c r="J4" s="2">
        <v>3</v>
      </c>
      <c r="K4" s="2">
        <v>1</v>
      </c>
      <c r="L4" s="2">
        <v>0</v>
      </c>
      <c r="M4" s="2">
        <v>113931.57</v>
      </c>
      <c r="N4" s="2">
        <v>1</v>
      </c>
      <c r="O4" s="10">
        <f>M4/I4</f>
        <v>0.71358511293943172</v>
      </c>
      <c r="P4" s="3" t="s">
        <v>54</v>
      </c>
      <c r="Q4" t="s">
        <v>19</v>
      </c>
      <c r="V4" s="2" t="s">
        <v>15</v>
      </c>
    </row>
    <row r="5" spans="1:23" x14ac:dyDescent="0.25">
      <c r="A5" s="19">
        <v>4</v>
      </c>
      <c r="B5" s="2">
        <v>15701354</v>
      </c>
      <c r="C5" s="2" t="s">
        <v>20</v>
      </c>
      <c r="D5" s="2">
        <v>699</v>
      </c>
      <c r="E5" s="2" t="s">
        <v>15</v>
      </c>
      <c r="F5" s="2" t="s">
        <v>16</v>
      </c>
      <c r="G5" s="2">
        <v>39</v>
      </c>
      <c r="H5" s="2">
        <v>1</v>
      </c>
      <c r="I5" s="2">
        <v>0</v>
      </c>
      <c r="J5" s="2">
        <v>2</v>
      </c>
      <c r="K5" s="2">
        <v>0</v>
      </c>
      <c r="L5" s="2">
        <v>0</v>
      </c>
      <c r="M5" s="2">
        <v>93826.63</v>
      </c>
      <c r="N5" s="2">
        <v>0</v>
      </c>
      <c r="O5" s="10" t="e">
        <f>M5/I5</f>
        <v>#DIV/0!</v>
      </c>
      <c r="P5" s="3" t="s">
        <v>55</v>
      </c>
      <c r="Q5" t="s">
        <v>20</v>
      </c>
      <c r="V5" s="2" t="s">
        <v>15</v>
      </c>
    </row>
    <row r="6" spans="1:23" x14ac:dyDescent="0.25">
      <c r="A6" s="19">
        <v>5</v>
      </c>
      <c r="B6" s="2">
        <v>15737888</v>
      </c>
      <c r="C6" s="2" t="s">
        <v>21</v>
      </c>
      <c r="D6" s="2">
        <v>850</v>
      </c>
      <c r="E6" s="2" t="s">
        <v>18</v>
      </c>
      <c r="F6" s="2" t="s">
        <v>16</v>
      </c>
      <c r="G6" s="2">
        <v>43</v>
      </c>
      <c r="H6" s="2">
        <v>2</v>
      </c>
      <c r="I6" s="2">
        <v>125510.82</v>
      </c>
      <c r="J6" s="2">
        <v>1</v>
      </c>
      <c r="K6" s="2">
        <v>1</v>
      </c>
      <c r="L6" s="2">
        <v>1</v>
      </c>
      <c r="M6" s="2">
        <v>79084.100000000006</v>
      </c>
      <c r="N6" s="2">
        <v>0</v>
      </c>
      <c r="O6" s="10">
        <f>M6/I6</f>
        <v>0.63009786725957173</v>
      </c>
      <c r="P6" s="3" t="s">
        <v>56</v>
      </c>
      <c r="Q6" t="s">
        <v>21</v>
      </c>
      <c r="V6" s="2" t="s">
        <v>18</v>
      </c>
    </row>
    <row r="7" spans="1:23" x14ac:dyDescent="0.25">
      <c r="A7" s="19">
        <v>6</v>
      </c>
      <c r="B7" s="2">
        <v>15574012</v>
      </c>
      <c r="C7" s="2" t="s">
        <v>22</v>
      </c>
      <c r="D7" s="2">
        <v>645</v>
      </c>
      <c r="E7" s="2" t="s">
        <v>18</v>
      </c>
      <c r="F7" s="2" t="s">
        <v>23</v>
      </c>
      <c r="G7" s="2">
        <v>44</v>
      </c>
      <c r="H7" s="2">
        <v>8</v>
      </c>
      <c r="I7" s="2">
        <v>113755.78</v>
      </c>
      <c r="J7" s="2">
        <v>2</v>
      </c>
      <c r="K7" s="2">
        <v>1</v>
      </c>
      <c r="L7" s="2">
        <v>0</v>
      </c>
      <c r="M7" s="2">
        <v>149756.71</v>
      </c>
      <c r="N7" s="2">
        <v>1</v>
      </c>
      <c r="O7" s="10">
        <f>M7/I7</f>
        <v>1.3164756111733398</v>
      </c>
      <c r="P7" s="3" t="s">
        <v>57</v>
      </c>
      <c r="Q7" t="s">
        <v>22</v>
      </c>
      <c r="V7" s="2" t="s">
        <v>18</v>
      </c>
    </row>
    <row r="8" spans="1:23" x14ac:dyDescent="0.25">
      <c r="A8" s="19">
        <v>7</v>
      </c>
      <c r="B8" s="2">
        <v>15592531</v>
      </c>
      <c r="C8" s="2" t="s">
        <v>24</v>
      </c>
      <c r="D8" s="2">
        <v>822</v>
      </c>
      <c r="E8" s="2" t="s">
        <v>15</v>
      </c>
      <c r="F8" s="2" t="s">
        <v>23</v>
      </c>
      <c r="G8" s="2">
        <v>50</v>
      </c>
      <c r="H8" s="2">
        <v>7</v>
      </c>
      <c r="I8" s="2">
        <v>0</v>
      </c>
      <c r="J8" s="2">
        <v>2</v>
      </c>
      <c r="K8" s="2">
        <v>1</v>
      </c>
      <c r="L8" s="2">
        <v>1</v>
      </c>
      <c r="M8" s="2">
        <v>10062.799999999999</v>
      </c>
      <c r="N8" s="2">
        <v>0</v>
      </c>
      <c r="O8" s="10" t="e">
        <f>M8/I8</f>
        <v>#DIV/0!</v>
      </c>
      <c r="P8" s="3" t="s">
        <v>58</v>
      </c>
      <c r="Q8" t="s">
        <v>24</v>
      </c>
      <c r="S8" s="7"/>
      <c r="T8" s="7"/>
      <c r="U8" s="17"/>
      <c r="V8" s="2" t="s">
        <v>15</v>
      </c>
    </row>
    <row r="9" spans="1:23" x14ac:dyDescent="0.25">
      <c r="A9" s="19">
        <v>8</v>
      </c>
      <c r="B9" s="2">
        <v>15656148</v>
      </c>
      <c r="C9" s="2" t="s">
        <v>25</v>
      </c>
      <c r="D9" s="2">
        <v>376</v>
      </c>
      <c r="E9" s="2" t="s">
        <v>26</v>
      </c>
      <c r="F9" s="2" t="s">
        <v>16</v>
      </c>
      <c r="G9" s="2">
        <v>29</v>
      </c>
      <c r="H9" s="2">
        <v>4</v>
      </c>
      <c r="I9" s="2">
        <v>115046.74</v>
      </c>
      <c r="J9" s="2">
        <v>4</v>
      </c>
      <c r="K9" s="2">
        <v>1</v>
      </c>
      <c r="L9" s="2">
        <v>0</v>
      </c>
      <c r="M9" s="2">
        <v>119346.88</v>
      </c>
      <c r="N9" s="2">
        <v>1</v>
      </c>
      <c r="O9" s="10">
        <f>M9/I9</f>
        <v>1.0373773302920186</v>
      </c>
      <c r="P9" s="3" t="s">
        <v>59</v>
      </c>
      <c r="Q9" t="s">
        <v>25</v>
      </c>
      <c r="V9" s="2" t="s">
        <v>26</v>
      </c>
    </row>
    <row r="10" spans="1:23" x14ac:dyDescent="0.25">
      <c r="A10" s="19">
        <v>9</v>
      </c>
      <c r="B10" s="2">
        <v>15792365</v>
      </c>
      <c r="C10" s="2" t="s">
        <v>27</v>
      </c>
      <c r="D10" s="2">
        <v>501</v>
      </c>
      <c r="E10" s="2" t="s">
        <v>15</v>
      </c>
      <c r="F10" s="2" t="s">
        <v>23</v>
      </c>
      <c r="G10" s="2">
        <v>44</v>
      </c>
      <c r="H10" s="2">
        <v>4</v>
      </c>
      <c r="I10" s="2">
        <v>142051.07</v>
      </c>
      <c r="J10" s="2">
        <v>2</v>
      </c>
      <c r="K10" s="2">
        <v>0</v>
      </c>
      <c r="L10" s="2">
        <v>1</v>
      </c>
      <c r="M10" s="2">
        <v>74940.5</v>
      </c>
      <c r="N10" s="2">
        <v>0</v>
      </c>
      <c r="O10" s="10">
        <f>M10/I10</f>
        <v>0.52756026406559275</v>
      </c>
      <c r="P10" s="3" t="s">
        <v>60</v>
      </c>
      <c r="Q10" t="s">
        <v>27</v>
      </c>
      <c r="V10" s="2" t="s">
        <v>15</v>
      </c>
    </row>
    <row r="11" spans="1:23" x14ac:dyDescent="0.25">
      <c r="A11" s="19">
        <v>10</v>
      </c>
      <c r="B11" s="2">
        <v>15592389</v>
      </c>
      <c r="C11" s="2" t="s">
        <v>28</v>
      </c>
      <c r="D11" s="2">
        <v>684</v>
      </c>
      <c r="E11" s="2" t="s">
        <v>15</v>
      </c>
      <c r="F11" s="2" t="s">
        <v>23</v>
      </c>
      <c r="G11" s="2">
        <v>27</v>
      </c>
      <c r="H11" s="2">
        <v>2</v>
      </c>
      <c r="I11" s="2">
        <v>134603.88</v>
      </c>
      <c r="J11" s="2">
        <v>1</v>
      </c>
      <c r="K11" s="2">
        <v>1</v>
      </c>
      <c r="L11" s="2">
        <v>1</v>
      </c>
      <c r="M11" s="2">
        <v>71725.73</v>
      </c>
      <c r="N11" s="2">
        <v>0</v>
      </c>
      <c r="O11" s="10">
        <f>M11/I11</f>
        <v>0.53286524875805952</v>
      </c>
      <c r="P11" s="3" t="s">
        <v>61</v>
      </c>
      <c r="Q11" t="s">
        <v>28</v>
      </c>
      <c r="V11" s="2" t="s">
        <v>15</v>
      </c>
    </row>
    <row r="12" spans="1:23" x14ac:dyDescent="0.25">
      <c r="A12" s="19">
        <v>11</v>
      </c>
      <c r="B12" s="2">
        <v>15767821</v>
      </c>
      <c r="C12" s="2" t="s">
        <v>29</v>
      </c>
      <c r="D12" s="2">
        <v>528</v>
      </c>
      <c r="E12" s="2" t="s">
        <v>15</v>
      </c>
      <c r="F12" s="2" t="s">
        <v>23</v>
      </c>
      <c r="G12" s="2">
        <v>31</v>
      </c>
      <c r="H12" s="2">
        <v>6</v>
      </c>
      <c r="I12" s="2">
        <v>102016.72</v>
      </c>
      <c r="J12" s="2">
        <v>2</v>
      </c>
      <c r="K12" s="2">
        <v>0</v>
      </c>
      <c r="L12" s="2">
        <v>0</v>
      </c>
      <c r="M12" s="2">
        <v>80181.119999999995</v>
      </c>
      <c r="N12" s="2">
        <v>0</v>
      </c>
      <c r="O12" s="10">
        <f>M12/I12</f>
        <v>0.78596057587422918</v>
      </c>
      <c r="P12" s="3" t="s">
        <v>62</v>
      </c>
      <c r="Q12" t="s">
        <v>29</v>
      </c>
      <c r="V12" s="2" t="s">
        <v>15</v>
      </c>
    </row>
    <row r="13" spans="1:23" x14ac:dyDescent="0.25">
      <c r="A13" s="20">
        <v>12</v>
      </c>
      <c r="B13" s="5">
        <v>15737173</v>
      </c>
      <c r="C13" s="5" t="s">
        <v>30</v>
      </c>
      <c r="D13" s="5">
        <v>497</v>
      </c>
      <c r="E13" s="5" t="s">
        <v>18</v>
      </c>
      <c r="F13" s="5" t="s">
        <v>23</v>
      </c>
      <c r="G13" s="5">
        <v>24</v>
      </c>
      <c r="H13" s="5">
        <v>3</v>
      </c>
      <c r="I13" s="8">
        <v>0</v>
      </c>
      <c r="J13" s="5">
        <v>2</v>
      </c>
      <c r="K13" s="5">
        <v>1</v>
      </c>
      <c r="L13" s="5">
        <v>0</v>
      </c>
      <c r="M13" s="5">
        <v>76390.009999999995</v>
      </c>
      <c r="N13" s="5">
        <v>0</v>
      </c>
      <c r="O13" s="11" t="e">
        <f>M13/I13</f>
        <v>#DIV/0!</v>
      </c>
      <c r="P13" s="6" t="s">
        <v>63</v>
      </c>
      <c r="Q13" t="s">
        <v>30</v>
      </c>
      <c r="S13" s="14" t="s">
        <v>51</v>
      </c>
      <c r="T13" s="14"/>
      <c r="U13" s="16"/>
      <c r="V13" s="5" t="s">
        <v>18</v>
      </c>
    </row>
    <row r="14" spans="1:23" x14ac:dyDescent="0.25">
      <c r="A14" s="19">
        <v>13</v>
      </c>
      <c r="B14" s="2">
        <v>15632264</v>
      </c>
      <c r="C14" s="2" t="s">
        <v>31</v>
      </c>
      <c r="D14" s="2">
        <v>476</v>
      </c>
      <c r="E14" s="2" t="s">
        <v>15</v>
      </c>
      <c r="F14" s="2" t="s">
        <v>16</v>
      </c>
      <c r="G14" s="2">
        <v>34</v>
      </c>
      <c r="H14" s="2">
        <v>10</v>
      </c>
      <c r="I14" s="9"/>
      <c r="J14" s="2">
        <v>2</v>
      </c>
      <c r="K14" s="2">
        <v>1</v>
      </c>
      <c r="L14" s="2">
        <v>0</v>
      </c>
      <c r="M14" s="2">
        <v>26260.98</v>
      </c>
      <c r="N14" s="2">
        <v>0</v>
      </c>
      <c r="O14" s="10" t="e">
        <f>M14/I14</f>
        <v>#DIV/0!</v>
      </c>
      <c r="P14" s="3" t="s">
        <v>64</v>
      </c>
      <c r="Q14" t="s">
        <v>31</v>
      </c>
      <c r="V14" s="2" t="s">
        <v>15</v>
      </c>
    </row>
    <row r="15" spans="1:23" x14ac:dyDescent="0.25">
      <c r="A15" s="19">
        <v>14</v>
      </c>
      <c r="B15" s="2">
        <v>15691483</v>
      </c>
      <c r="C15" s="2" t="s">
        <v>32</v>
      </c>
      <c r="D15" s="2">
        <v>549</v>
      </c>
      <c r="E15" s="2" t="s">
        <v>15</v>
      </c>
      <c r="F15" s="2" t="s">
        <v>16</v>
      </c>
      <c r="G15" s="2">
        <v>25</v>
      </c>
      <c r="H15" s="2">
        <v>5</v>
      </c>
      <c r="I15" s="2">
        <v>0</v>
      </c>
      <c r="J15" s="2">
        <v>2</v>
      </c>
      <c r="K15" s="2">
        <v>0</v>
      </c>
      <c r="L15" s="2">
        <v>0</v>
      </c>
      <c r="M15" s="2">
        <v>190857.79</v>
      </c>
      <c r="N15" s="2">
        <v>0</v>
      </c>
      <c r="O15" s="10" t="e">
        <f>M15/I15</f>
        <v>#DIV/0!</v>
      </c>
      <c r="P15" s="3" t="s">
        <v>65</v>
      </c>
      <c r="Q15" t="s">
        <v>32</v>
      </c>
      <c r="V15" s="2" t="s">
        <v>15</v>
      </c>
    </row>
    <row r="16" spans="1:23" x14ac:dyDescent="0.25">
      <c r="A16" s="19">
        <v>15</v>
      </c>
      <c r="B16" s="2">
        <v>15600882</v>
      </c>
      <c r="C16" s="2" t="s">
        <v>33</v>
      </c>
      <c r="D16" s="2">
        <v>635</v>
      </c>
      <c r="E16" s="2" t="s">
        <v>18</v>
      </c>
      <c r="F16" s="2" t="s">
        <v>16</v>
      </c>
      <c r="G16" s="2">
        <v>35</v>
      </c>
      <c r="H16" s="2">
        <v>7</v>
      </c>
      <c r="I16" s="2">
        <v>0</v>
      </c>
      <c r="J16" s="2">
        <v>2</v>
      </c>
      <c r="K16" s="2">
        <v>1</v>
      </c>
      <c r="L16" s="2">
        <v>1</v>
      </c>
      <c r="M16" s="2">
        <v>65951.649999999994</v>
      </c>
      <c r="N16" s="2">
        <v>0</v>
      </c>
      <c r="O16" s="10" t="e">
        <f>M16/I16</f>
        <v>#DIV/0!</v>
      </c>
      <c r="P16" s="3" t="s">
        <v>66</v>
      </c>
      <c r="Q16" t="s">
        <v>33</v>
      </c>
      <c r="V16" s="2" t="s">
        <v>18</v>
      </c>
    </row>
    <row r="17" spans="1:22" x14ac:dyDescent="0.25">
      <c r="A17" s="19">
        <v>16</v>
      </c>
      <c r="B17" s="2">
        <v>15643966</v>
      </c>
      <c r="C17" s="2" t="s">
        <v>34</v>
      </c>
      <c r="D17" s="2">
        <v>616</v>
      </c>
      <c r="E17" s="2" t="s">
        <v>26</v>
      </c>
      <c r="F17" s="2" t="s">
        <v>23</v>
      </c>
      <c r="G17" s="2">
        <v>45</v>
      </c>
      <c r="H17" s="2">
        <v>3</v>
      </c>
      <c r="I17" s="2">
        <v>143129.41</v>
      </c>
      <c r="J17" s="2">
        <v>2</v>
      </c>
      <c r="K17" s="2">
        <v>0</v>
      </c>
      <c r="L17" s="2">
        <v>1</v>
      </c>
      <c r="M17" s="2">
        <v>64327.26</v>
      </c>
      <c r="N17" s="2">
        <v>0</v>
      </c>
      <c r="O17" s="10">
        <f>M17/I17</f>
        <v>0.44943425673312004</v>
      </c>
      <c r="P17" s="3" t="s">
        <v>67</v>
      </c>
      <c r="Q17" t="s">
        <v>34</v>
      </c>
      <c r="S17" s="15" t="s">
        <v>50</v>
      </c>
      <c r="T17" s="15"/>
      <c r="V17" s="2" t="s">
        <v>26</v>
      </c>
    </row>
    <row r="18" spans="1:22" x14ac:dyDescent="0.25">
      <c r="A18" s="19">
        <v>17</v>
      </c>
      <c r="B18" s="2">
        <v>15737452</v>
      </c>
      <c r="C18" s="2" t="s">
        <v>35</v>
      </c>
      <c r="D18" s="2">
        <v>653</v>
      </c>
      <c r="E18" s="2" t="s">
        <v>26</v>
      </c>
      <c r="F18" s="2" t="s">
        <v>23</v>
      </c>
      <c r="G18" s="2">
        <v>58</v>
      </c>
      <c r="H18" s="2">
        <v>1</v>
      </c>
      <c r="I18" s="2">
        <v>132602.88</v>
      </c>
      <c r="J18" s="2">
        <v>1</v>
      </c>
      <c r="K18" s="2">
        <v>1</v>
      </c>
      <c r="L18" s="2">
        <v>0</v>
      </c>
      <c r="M18" s="2">
        <v>5097.67</v>
      </c>
      <c r="N18" s="2">
        <v>1</v>
      </c>
      <c r="O18" s="10">
        <f>M18/I18</f>
        <v>3.8443131853546468E-2</v>
      </c>
      <c r="P18" s="3" t="s">
        <v>68</v>
      </c>
      <c r="Q18" t="s">
        <v>35</v>
      </c>
      <c r="V18" s="2" t="s">
        <v>26</v>
      </c>
    </row>
    <row r="19" spans="1:22" x14ac:dyDescent="0.25">
      <c r="A19" s="19">
        <v>18</v>
      </c>
      <c r="B19" s="2">
        <v>15788218</v>
      </c>
      <c r="C19" s="2" t="s">
        <v>36</v>
      </c>
      <c r="D19" s="2">
        <v>549</v>
      </c>
      <c r="E19" s="2" t="s">
        <v>18</v>
      </c>
      <c r="F19" s="2" t="s">
        <v>16</v>
      </c>
      <c r="G19" s="2">
        <v>24</v>
      </c>
      <c r="H19" s="2">
        <v>9</v>
      </c>
      <c r="I19" s="2">
        <v>0</v>
      </c>
      <c r="J19" s="2">
        <v>2</v>
      </c>
      <c r="K19" s="2">
        <v>1</v>
      </c>
      <c r="L19" s="2">
        <v>1</v>
      </c>
      <c r="M19" s="2">
        <v>14406.41</v>
      </c>
      <c r="N19" s="2">
        <v>0</v>
      </c>
      <c r="O19" s="10" t="e">
        <f>M19/I19</f>
        <v>#DIV/0!</v>
      </c>
      <c r="P19" s="3" t="s">
        <v>69</v>
      </c>
      <c r="Q19" t="s">
        <v>36</v>
      </c>
      <c r="V19" s="2" t="s">
        <v>18</v>
      </c>
    </row>
    <row r="20" spans="1:22" x14ac:dyDescent="0.25">
      <c r="A20" s="19">
        <v>19</v>
      </c>
      <c r="B20" s="2">
        <v>15661507</v>
      </c>
      <c r="C20" s="2" t="s">
        <v>37</v>
      </c>
      <c r="D20" s="2">
        <v>587</v>
      </c>
      <c r="E20" s="2" t="s">
        <v>18</v>
      </c>
      <c r="F20" s="2" t="s">
        <v>23</v>
      </c>
      <c r="G20" s="2">
        <v>45</v>
      </c>
      <c r="H20" s="2">
        <v>6</v>
      </c>
      <c r="I20" s="2">
        <v>0</v>
      </c>
      <c r="J20" s="2">
        <v>1</v>
      </c>
      <c r="K20" s="2">
        <v>0</v>
      </c>
      <c r="L20" s="2">
        <v>0</v>
      </c>
      <c r="M20" s="2">
        <v>158684.81</v>
      </c>
      <c r="N20" s="2">
        <v>0</v>
      </c>
      <c r="O20" s="10" t="e">
        <f>M20/I20</f>
        <v>#DIV/0!</v>
      </c>
      <c r="P20" s="3" t="s">
        <v>70</v>
      </c>
      <c r="Q20" t="s">
        <v>37</v>
      </c>
      <c r="V20" s="2" t="s">
        <v>18</v>
      </c>
    </row>
    <row r="21" spans="1:22" x14ac:dyDescent="0.25">
      <c r="A21" s="19">
        <v>20</v>
      </c>
      <c r="B21" s="2">
        <v>15568982</v>
      </c>
      <c r="C21" s="2" t="s">
        <v>38</v>
      </c>
      <c r="D21" s="2">
        <v>726</v>
      </c>
      <c r="E21" s="2" t="s">
        <v>15</v>
      </c>
      <c r="F21" s="2" t="s">
        <v>16</v>
      </c>
      <c r="G21" s="2">
        <v>24</v>
      </c>
      <c r="H21" s="2">
        <v>6</v>
      </c>
      <c r="I21" s="2">
        <v>0</v>
      </c>
      <c r="J21" s="2">
        <v>2</v>
      </c>
      <c r="K21" s="2">
        <v>1</v>
      </c>
      <c r="L21" s="2">
        <v>1</v>
      </c>
      <c r="M21" s="2">
        <v>54724.03</v>
      </c>
      <c r="N21" s="2">
        <v>0</v>
      </c>
      <c r="O21" s="10" t="e">
        <f>M21/I21</f>
        <v>#DIV/0!</v>
      </c>
      <c r="P21" s="3" t="s">
        <v>71</v>
      </c>
      <c r="Q21" t="s">
        <v>38</v>
      </c>
      <c r="V21" s="2" t="s">
        <v>15</v>
      </c>
    </row>
    <row r="22" spans="1:22" x14ac:dyDescent="0.25">
      <c r="A22" s="20">
        <v>21</v>
      </c>
      <c r="B22" s="5">
        <v>15577657</v>
      </c>
      <c r="C22" s="5" t="s">
        <v>39</v>
      </c>
      <c r="D22" s="5">
        <v>732</v>
      </c>
      <c r="E22" s="5" t="s">
        <v>15</v>
      </c>
      <c r="F22" s="5" t="s">
        <v>23</v>
      </c>
      <c r="G22" s="5">
        <v>41</v>
      </c>
      <c r="H22" s="5">
        <v>8</v>
      </c>
      <c r="I22" s="5">
        <v>0</v>
      </c>
      <c r="J22" s="5">
        <v>2</v>
      </c>
      <c r="K22" s="5">
        <v>1</v>
      </c>
      <c r="L22" s="5">
        <v>1</v>
      </c>
      <c r="M22" s="5">
        <v>170886.17</v>
      </c>
      <c r="N22" s="5">
        <v>0</v>
      </c>
      <c r="O22" s="11" t="e">
        <f>M22/I22</f>
        <v>#DIV/0!</v>
      </c>
      <c r="P22" s="6" t="s">
        <v>72</v>
      </c>
      <c r="Q22" t="s">
        <v>39</v>
      </c>
      <c r="V22" s="5" t="s">
        <v>15</v>
      </c>
    </row>
    <row r="23" spans="1:22" x14ac:dyDescent="0.25">
      <c r="A23" s="19">
        <v>22</v>
      </c>
      <c r="B23" s="2">
        <v>15597945</v>
      </c>
      <c r="C23" s="2" t="s">
        <v>40</v>
      </c>
      <c r="D23" s="2">
        <v>636</v>
      </c>
      <c r="E23" s="2" t="s">
        <v>18</v>
      </c>
      <c r="F23" s="2" t="s">
        <v>16</v>
      </c>
      <c r="G23" s="2">
        <v>32</v>
      </c>
      <c r="H23" s="2">
        <v>8</v>
      </c>
      <c r="I23" s="2">
        <v>0</v>
      </c>
      <c r="J23" s="2">
        <v>2</v>
      </c>
      <c r="K23" s="2">
        <v>1</v>
      </c>
      <c r="L23" s="2">
        <v>0</v>
      </c>
      <c r="M23" s="2">
        <v>138555.46</v>
      </c>
      <c r="N23" s="2">
        <v>0</v>
      </c>
      <c r="O23" s="10" t="e">
        <f>M23/I23</f>
        <v>#DIV/0!</v>
      </c>
      <c r="P23" s="3" t="s">
        <v>73</v>
      </c>
      <c r="Q23" t="s">
        <v>40</v>
      </c>
      <c r="V23" s="2" t="s">
        <v>18</v>
      </c>
    </row>
    <row r="24" spans="1:22" x14ac:dyDescent="0.25">
      <c r="A24" s="19">
        <v>23</v>
      </c>
      <c r="B24" s="2">
        <v>15699309</v>
      </c>
      <c r="C24" s="2" t="s">
        <v>41</v>
      </c>
      <c r="D24" s="2">
        <v>510</v>
      </c>
      <c r="E24" s="2" t="s">
        <v>18</v>
      </c>
      <c r="F24" s="2" t="s">
        <v>16</v>
      </c>
      <c r="G24" s="2">
        <v>38</v>
      </c>
      <c r="H24" s="2">
        <v>4</v>
      </c>
      <c r="I24" s="2">
        <v>0</v>
      </c>
      <c r="J24" s="2">
        <v>1</v>
      </c>
      <c r="K24" s="2">
        <v>1</v>
      </c>
      <c r="L24" s="2">
        <v>0</v>
      </c>
      <c r="M24" s="2">
        <v>118913.53</v>
      </c>
      <c r="N24" s="2">
        <v>1</v>
      </c>
      <c r="O24" s="10" t="e">
        <f>M24/I24</f>
        <v>#DIV/0!</v>
      </c>
      <c r="P24" s="3" t="s">
        <v>74</v>
      </c>
      <c r="Q24" t="s">
        <v>41</v>
      </c>
      <c r="V24" s="2" t="s">
        <v>18</v>
      </c>
    </row>
    <row r="25" spans="1:22" x14ac:dyDescent="0.25">
      <c r="A25" s="19">
        <v>24</v>
      </c>
      <c r="B25" s="2">
        <v>15725737</v>
      </c>
      <c r="C25" s="2" t="s">
        <v>42</v>
      </c>
      <c r="D25" s="2">
        <v>669</v>
      </c>
      <c r="E25" s="2" t="s">
        <v>15</v>
      </c>
      <c r="F25" s="2" t="s">
        <v>23</v>
      </c>
      <c r="G25" s="2">
        <v>46</v>
      </c>
      <c r="H25" s="2">
        <v>3</v>
      </c>
      <c r="I25" s="2">
        <v>0</v>
      </c>
      <c r="J25" s="2">
        <v>2</v>
      </c>
      <c r="K25" s="2">
        <v>0</v>
      </c>
      <c r="L25" s="2">
        <v>1</v>
      </c>
      <c r="M25" s="2">
        <v>8487.75</v>
      </c>
      <c r="N25" s="2">
        <v>0</v>
      </c>
      <c r="O25" s="10" t="e">
        <f>M25/I25</f>
        <v>#DIV/0!</v>
      </c>
      <c r="P25" s="3" t="s">
        <v>75</v>
      </c>
      <c r="Q25" t="s">
        <v>42</v>
      </c>
      <c r="V25" s="2" t="s">
        <v>15</v>
      </c>
    </row>
    <row r="26" spans="1:22" x14ac:dyDescent="0.25">
      <c r="A26" s="19">
        <v>25</v>
      </c>
      <c r="B26" s="2">
        <v>15625047</v>
      </c>
      <c r="C26" s="2" t="s">
        <v>43</v>
      </c>
      <c r="D26" s="2">
        <v>846</v>
      </c>
      <c r="E26" s="2" t="s">
        <v>15</v>
      </c>
      <c r="F26" s="2" t="s">
        <v>16</v>
      </c>
      <c r="G26" s="2">
        <v>38</v>
      </c>
      <c r="H26" s="2">
        <v>5</v>
      </c>
      <c r="I26" s="2">
        <v>0</v>
      </c>
      <c r="J26" s="2">
        <v>1</v>
      </c>
      <c r="K26" s="2">
        <v>1</v>
      </c>
      <c r="L26" s="2">
        <v>1</v>
      </c>
      <c r="M26" s="2">
        <v>187616.16</v>
      </c>
      <c r="N26" s="2">
        <v>0</v>
      </c>
      <c r="O26" s="10" t="e">
        <f>M26/I26</f>
        <v>#DIV/0!</v>
      </c>
      <c r="P26" s="3" t="s">
        <v>76</v>
      </c>
      <c r="Q26" t="s">
        <v>43</v>
      </c>
      <c r="V26" s="2" t="s">
        <v>15</v>
      </c>
    </row>
    <row r="27" spans="1:22" x14ac:dyDescent="0.25">
      <c r="A27" s="19">
        <v>26</v>
      </c>
      <c r="B27" s="2">
        <v>15738191</v>
      </c>
      <c r="C27" s="2" t="s">
        <v>44</v>
      </c>
      <c r="D27" s="2">
        <v>577</v>
      </c>
      <c r="E27" s="2" t="s">
        <v>15</v>
      </c>
      <c r="F27" s="2" t="s">
        <v>23</v>
      </c>
      <c r="G27" s="2">
        <v>25</v>
      </c>
      <c r="H27" s="2">
        <v>3</v>
      </c>
      <c r="I27" s="2">
        <v>0</v>
      </c>
      <c r="J27" s="2">
        <v>2</v>
      </c>
      <c r="K27" s="2">
        <v>0</v>
      </c>
      <c r="L27" s="2">
        <v>1</v>
      </c>
      <c r="M27" s="2">
        <v>124508.29</v>
      </c>
      <c r="N27" s="2">
        <v>0</v>
      </c>
      <c r="O27" s="10" t="e">
        <f>M27/I27</f>
        <v>#DIV/0!</v>
      </c>
      <c r="P27" s="3" t="s">
        <v>77</v>
      </c>
      <c r="Q27" t="s">
        <v>44</v>
      </c>
      <c r="V27" s="2" t="s">
        <v>15</v>
      </c>
    </row>
    <row r="28" spans="1:22" x14ac:dyDescent="0.25">
      <c r="A28" s="19">
        <v>27</v>
      </c>
      <c r="B28" s="2">
        <v>15736816</v>
      </c>
      <c r="C28" s="2" t="s">
        <v>45</v>
      </c>
      <c r="D28" s="2">
        <v>756</v>
      </c>
      <c r="E28" s="2" t="s">
        <v>26</v>
      </c>
      <c r="F28" s="2" t="s">
        <v>23</v>
      </c>
      <c r="G28" s="2">
        <v>36</v>
      </c>
      <c r="H28" s="2">
        <v>2</v>
      </c>
      <c r="I28" s="2">
        <v>136815.64000000001</v>
      </c>
      <c r="J28" s="2">
        <v>1</v>
      </c>
      <c r="K28" s="2">
        <v>1</v>
      </c>
      <c r="L28" s="2">
        <v>1</v>
      </c>
      <c r="M28" s="2">
        <v>170041.95</v>
      </c>
      <c r="N28" s="2">
        <v>0</v>
      </c>
      <c r="O28" s="10">
        <f>M28/I28</f>
        <v>1.2428546180831372</v>
      </c>
      <c r="P28" s="3" t="s">
        <v>78</v>
      </c>
      <c r="Q28" t="s">
        <v>45</v>
      </c>
      <c r="V28" s="2" t="s">
        <v>26</v>
      </c>
    </row>
    <row r="29" spans="1:22" x14ac:dyDescent="0.25">
      <c r="A29" s="19">
        <v>28</v>
      </c>
      <c r="B29" s="2">
        <v>15700772</v>
      </c>
      <c r="C29" s="2" t="s">
        <v>46</v>
      </c>
      <c r="D29" s="2">
        <v>571</v>
      </c>
      <c r="E29" s="2" t="s">
        <v>15</v>
      </c>
      <c r="F29" s="2" t="s">
        <v>23</v>
      </c>
      <c r="G29" s="2">
        <v>44</v>
      </c>
      <c r="H29" s="2">
        <v>9</v>
      </c>
      <c r="I29" s="2">
        <v>0</v>
      </c>
      <c r="J29" s="2">
        <v>2</v>
      </c>
      <c r="K29" s="2">
        <v>0</v>
      </c>
      <c r="L29" s="2">
        <v>0</v>
      </c>
      <c r="M29" s="2">
        <v>38433.35</v>
      </c>
      <c r="N29" s="2">
        <v>0</v>
      </c>
      <c r="O29" s="10" t="e">
        <f>M29/I29</f>
        <v>#DIV/0!</v>
      </c>
      <c r="P29" s="3" t="s">
        <v>79</v>
      </c>
      <c r="Q29" t="s">
        <v>46</v>
      </c>
      <c r="V29" s="2" t="s">
        <v>15</v>
      </c>
    </row>
    <row r="30" spans="1:22" x14ac:dyDescent="0.25">
      <c r="A30" s="19">
        <v>29</v>
      </c>
      <c r="B30" s="2">
        <v>15728693</v>
      </c>
      <c r="C30" s="2" t="s">
        <v>47</v>
      </c>
      <c r="D30" s="2">
        <v>574</v>
      </c>
      <c r="E30" s="2" t="s">
        <v>26</v>
      </c>
      <c r="F30" s="2" t="s">
        <v>16</v>
      </c>
      <c r="G30" s="2">
        <v>43</v>
      </c>
      <c r="H30" s="2">
        <v>3</v>
      </c>
      <c r="I30" s="2">
        <v>141349.43</v>
      </c>
      <c r="J30" s="2">
        <v>1</v>
      </c>
      <c r="K30" s="2">
        <v>1</v>
      </c>
      <c r="L30" s="2">
        <v>1</v>
      </c>
      <c r="M30" s="2">
        <v>100187.43</v>
      </c>
      <c r="N30" s="2">
        <v>0</v>
      </c>
      <c r="O30" s="10">
        <f>M30/I30</f>
        <v>0.70879260001260702</v>
      </c>
      <c r="P30" s="3" t="s">
        <v>80</v>
      </c>
      <c r="Q30" t="s">
        <v>47</v>
      </c>
      <c r="V30" s="2" t="s">
        <v>26</v>
      </c>
    </row>
    <row r="31" spans="1:22" x14ac:dyDescent="0.25">
      <c r="A31" s="19">
        <v>30</v>
      </c>
      <c r="B31" s="2">
        <v>15656300</v>
      </c>
      <c r="C31" s="2" t="s">
        <v>48</v>
      </c>
      <c r="D31" s="2">
        <v>411</v>
      </c>
      <c r="E31" s="2" t="s">
        <v>15</v>
      </c>
      <c r="F31" s="2" t="s">
        <v>23</v>
      </c>
      <c r="G31" s="2">
        <v>29</v>
      </c>
      <c r="H31" s="2">
        <v>0</v>
      </c>
      <c r="I31" s="2">
        <v>59697.17</v>
      </c>
      <c r="J31" s="2">
        <v>2</v>
      </c>
      <c r="K31" s="2">
        <v>1</v>
      </c>
      <c r="L31" s="2">
        <v>1</v>
      </c>
      <c r="M31" s="2">
        <v>53483.21</v>
      </c>
      <c r="N31" s="2">
        <v>0</v>
      </c>
      <c r="O31" s="10">
        <f>M31/I31</f>
        <v>0.89590863352483885</v>
      </c>
      <c r="P31" s="3" t="s">
        <v>81</v>
      </c>
      <c r="Q31" t="s">
        <v>48</v>
      </c>
      <c r="V31" s="2" t="s">
        <v>15</v>
      </c>
    </row>
  </sheetData>
  <sortState xmlns:xlrd2="http://schemas.microsoft.com/office/spreadsheetml/2017/richdata2" ref="A3:Q6">
    <sortCondition ref="A2:A31"/>
  </sortState>
  <mergeCells count="2">
    <mergeCell ref="S17:T17"/>
    <mergeCell ref="S13:U13"/>
  </mergeCells>
  <dataValidations count="4">
    <dataValidation type="whole" allowBlank="1" showInputMessage="1" showErrorMessage="1" sqref="G1:G1048576" xr:uid="{AEE8BFED-2707-421F-A47E-2CC9699712C7}">
      <formula1>25</formula1>
      <formula2>100</formula2>
    </dataValidation>
    <dataValidation type="list" allowBlank="1" showInputMessage="1" showErrorMessage="1" sqref="E1:E1048576 V1:V1048576" xr:uid="{FD7C7431-7C70-4FC3-9C33-9497B7EFDF26}">
      <formula1>$E$7:$E$9</formula1>
    </dataValidation>
    <dataValidation type="decimal" allowBlank="1" showInputMessage="1" showErrorMessage="1" sqref="I1:I1048576" xr:uid="{362A5715-A9F9-4D89-9265-53817F20BDB6}">
      <formula1>0</formula1>
      <formula2>I4</formula2>
    </dataValidation>
    <dataValidation type="whole" operator="greaterThan" allowBlank="1" showInputMessage="1" showErrorMessage="1" sqref="H1:H1048576" xr:uid="{CFDBC409-EF22-4CDB-B9A1-E6A3991B54C8}">
      <formula1>5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2026-06-08T04:41:37Z</dcterms:created>
  <dcterms:modified xsi:type="dcterms:W3CDTF">2026-06-08T07:02:43Z</dcterms:modified>
</cp:coreProperties>
</file>